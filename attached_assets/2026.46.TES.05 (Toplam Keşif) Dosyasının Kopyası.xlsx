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7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7fe9c2d7d9ecd8cd/Masaüstü/akedaş2026/"/>
    </mc:Choice>
  </mc:AlternateContent>
  <xr:revisionPtr revIDLastSave="0" documentId="8_{C7AD69D6-0F71-834B-B980-08383BA9CE5C}" xr6:coauthVersionLast="47" xr6:coauthVersionMax="47" xr10:uidLastSave="{00000000-0000-0000-0000-000000000000}"/>
  <bookViews>
    <workbookView xWindow="-108" yWindow="-108" windowWidth="23256" windowHeight="13176" tabRatio="899" xr2:uid="{00000000-000D-0000-FFFF-FFFF00000000}"/>
  </bookViews>
  <sheets>
    <sheet name="Toplam Keşif" sheetId="42" r:id="rId1"/>
    <sheet name="Sayfa1" sheetId="43" r:id="rId2"/>
  </sheets>
  <definedNames>
    <definedName name="_________dmm2" localSheetId="0" hidden="1">{#N/A,#N/A,FALSE,"on (2)";#N/A,#N/A,FALSE,"BAYON (2)"}</definedName>
    <definedName name="_________dmm2" hidden="1">{#N/A,#N/A,FALSE,"on (2)";#N/A,#N/A,FALSE,"BAYON (2)"}</definedName>
    <definedName name="_________sa5" localSheetId="0" hidden="1">{#N/A,#N/A,FALSE,"on (2)";#N/A,#N/A,FALSE,"BAYON (2)"}</definedName>
    <definedName name="_________sa5" hidden="1">{#N/A,#N/A,FALSE,"on (2)";#N/A,#N/A,FALSE,"BAYON (2)"}</definedName>
    <definedName name="________dmm2" localSheetId="0" hidden="1">{#N/A,#N/A,FALSE,"on (2)";#N/A,#N/A,FALSE,"BAYON (2)"}</definedName>
    <definedName name="________dmm2" hidden="1">{#N/A,#N/A,FALSE,"on (2)";#N/A,#N/A,FALSE,"BAYON (2)"}</definedName>
    <definedName name="________sa5" localSheetId="0" hidden="1">{#N/A,#N/A,FALSE,"on (2)";#N/A,#N/A,FALSE,"BAYON (2)"}</definedName>
    <definedName name="________sa5" hidden="1">{#N/A,#N/A,FALSE,"on (2)";#N/A,#N/A,FALSE,"BAYON (2)"}</definedName>
    <definedName name="_______dmm2" localSheetId="0" hidden="1">{#N/A,#N/A,FALSE,"on (2)";#N/A,#N/A,FALSE,"BAYON (2)"}</definedName>
    <definedName name="_______dmm2" hidden="1">{#N/A,#N/A,FALSE,"on (2)";#N/A,#N/A,FALSE,"BAYON (2)"}</definedName>
    <definedName name="_______sa5" localSheetId="0" hidden="1">{#N/A,#N/A,FALSE,"on (2)";#N/A,#N/A,FALSE,"BAYON (2)"}</definedName>
    <definedName name="_______sa5" hidden="1">{#N/A,#N/A,FALSE,"on (2)";#N/A,#N/A,FALSE,"BAYON (2)"}</definedName>
    <definedName name="_____dmm2" localSheetId="0" hidden="1">{#N/A,#N/A,FALSE,"on (2)";#N/A,#N/A,FALSE,"BAYON (2)"}</definedName>
    <definedName name="_____dmm2" hidden="1">{#N/A,#N/A,FALSE,"on (2)";#N/A,#N/A,FALSE,"BAYON (2)"}</definedName>
    <definedName name="_____sa5" localSheetId="0" hidden="1">{#N/A,#N/A,FALSE,"on (2)";#N/A,#N/A,FALSE,"BAYON (2)"}</definedName>
    <definedName name="_____sa5" hidden="1">{#N/A,#N/A,FALSE,"on (2)";#N/A,#N/A,FALSE,"BAYON (2)"}</definedName>
    <definedName name="____dmm2" localSheetId="0" hidden="1">{#N/A,#N/A,FALSE,"on (2)";#N/A,#N/A,FALSE,"BAYON (2)"}</definedName>
    <definedName name="____dmm2" hidden="1">{#N/A,#N/A,FALSE,"on (2)";#N/A,#N/A,FALSE,"BAYON (2)"}</definedName>
    <definedName name="____sa5" localSheetId="0" hidden="1">{#N/A,#N/A,FALSE,"on (2)";#N/A,#N/A,FALSE,"BAYON (2)"}</definedName>
    <definedName name="____sa5" hidden="1">{#N/A,#N/A,FALSE,"on (2)";#N/A,#N/A,FALSE,"BAYON (2)"}</definedName>
    <definedName name="__123Graph_A" hidden="1">#REF!</definedName>
    <definedName name="__123Graph_B" hidden="1">#REF!</definedName>
    <definedName name="__123Graph_C" hidden="1">#REF!</definedName>
    <definedName name="__123Graph_D" hidden="1">#REF!</definedName>
    <definedName name="__123Graph_E" hidden="1">#REF!</definedName>
    <definedName name="__123Graph_X" hidden="1">#REF!</definedName>
    <definedName name="__dmm2" localSheetId="0" hidden="1">{#N/A,#N/A,FALSE,"on (2)";#N/A,#N/A,FALSE,"BAYON (2)"}</definedName>
    <definedName name="__dmm2" hidden="1">{#N/A,#N/A,FALSE,"on (2)";#N/A,#N/A,FALSE,"BAYON (2)"}</definedName>
    <definedName name="__sa5" localSheetId="0" hidden="1">{#N/A,#N/A,FALSE,"on (2)";#N/A,#N/A,FALSE,"BAYON (2)"}</definedName>
    <definedName name="__sa5" hidden="1">{#N/A,#N/A,FALSE,"on (2)";#N/A,#N/A,FALSE,"BAYON (2)"}</definedName>
    <definedName name="_dmm2" localSheetId="0" hidden="1">{#N/A,#N/A,FALSE,"on (2)";#N/A,#N/A,FALSE,"BAYON (2)"}</definedName>
    <definedName name="_dmm2" hidden="1">{#N/A,#N/A,FALSE,"on (2)";#N/A,#N/A,FALSE,"BAYON (2)"}</definedName>
    <definedName name="_Fill" localSheetId="0" hidden="1">#REF!</definedName>
    <definedName name="_Fill" hidden="1">#REF!</definedName>
    <definedName name="_sa5" localSheetId="0" hidden="1">{#N/A,#N/A,FALSE,"on (2)";#N/A,#N/A,FALSE,"BAYON (2)"}</definedName>
    <definedName name="_sa5" hidden="1">{#N/A,#N/A,FALSE,"on (2)";#N/A,#N/A,FALSE,"BAYON (2)"}</definedName>
    <definedName name="_xlnm._FilterDatabase" localSheetId="0" hidden="1">'Toplam Keşif'!$A$2:$G$139</definedName>
    <definedName name="a" localSheetId="0" hidden="1">{#N/A,#N/A,FALSE,"on (2)";#N/A,#N/A,FALSE,"BAYON (2)"}</definedName>
    <definedName name="a" hidden="1">{#N/A,#N/A,FALSE,"on (2)";#N/A,#N/A,FALSE,"BAYON (2)"}</definedName>
    <definedName name="BEYTEPE" localSheetId="0" hidden="1">{#N/A,#N/A,FALSE,"on (2)";#N/A,#N/A,FALSE,"BAYON (2)"}</definedName>
    <definedName name="BEYTEPE" hidden="1">{#N/A,#N/A,FALSE,"on (2)";#N/A,#N/A,FALSE,"BAYON (2)"}</definedName>
    <definedName name="D.TESBİT" localSheetId="0" hidden="1">{#N/A,#N/A,FALSE,"on (2)";#N/A,#N/A,FALSE,"BAYON (2)"}</definedName>
    <definedName name="D.TESBİT" hidden="1">{#N/A,#N/A,FALSE,"on (2)";#N/A,#N/A,FALSE,"BAYON (2)"}</definedName>
    <definedName name="eaeswgaerf" localSheetId="0" hidden="1">{#N/A,#N/A,FALSE,"on (2)";#N/A,#N/A,FALSE,"BAYON (2)"}</definedName>
    <definedName name="eaeswgaerf" hidden="1">{#N/A,#N/A,FALSE,"on (2)";#N/A,#N/A,FALSE,"BAYON (2)"}</definedName>
    <definedName name="fdsghag" localSheetId="0" hidden="1">{#N/A,#N/A,FALSE,"on (2)";#N/A,#N/A,FALSE,"BAYON (2)"}</definedName>
    <definedName name="fdsghag" hidden="1">{#N/A,#N/A,FALSE,"on (2)";#N/A,#N/A,FALSE,"BAYON (2)"}</definedName>
    <definedName name="K" localSheetId="0" hidden="1">{#N/A,#N/A,FALSE,"on (2)";#N/A,#N/A,FALSE,"BAYON (2)"}</definedName>
    <definedName name="K" hidden="1">{#N/A,#N/A,FALSE,"on (2)";#N/A,#N/A,FALSE,"BAYON (2)"}</definedName>
    <definedName name="KK" localSheetId="0" hidden="1">{#N/A,#N/A,FALSE,"on (2)";#N/A,#N/A,FALSE,"BAYON (2)"}</definedName>
    <definedName name="KK" hidden="1">{#N/A,#N/A,FALSE,"on (2)";#N/A,#N/A,FALSE,"BAYON (2)"}</definedName>
    <definedName name="KR" localSheetId="0" hidden="1">{#N/A,#N/A,FALSE,"on (2)";#N/A,#N/A,FALSE,"BAYON (2)"}</definedName>
    <definedName name="KR" hidden="1">{#N/A,#N/A,FALSE,"on (2)";#N/A,#N/A,FALSE,"BAYON (2)"}</definedName>
    <definedName name="MİGROS" localSheetId="0" hidden="1">{#N/A,#N/A,FALSE,"on (2)";#N/A,#N/A,FALSE,"BAYON (2)"}</definedName>
    <definedName name="MİGROS" hidden="1">{#N/A,#N/A,FALSE,"on (2)";#N/A,#N/A,FALSE,"BAYON (2)"}</definedName>
    <definedName name="q" localSheetId="0" hidden="1">{#N/A,#N/A,FALSE,"on (2)";#N/A,#N/A,FALSE,"BAYON (2)"}</definedName>
    <definedName name="q" hidden="1">{#N/A,#N/A,FALSE,"on (2)";#N/A,#N/A,FALSE,"BAYON (2)"}</definedName>
    <definedName name="SAYFA5" localSheetId="0" hidden="1">{#N/A,#N/A,FALSE,"on (2)";#N/A,#N/A,FALSE,"BAYON (2)"}</definedName>
    <definedName name="SAYFA5" hidden="1">{#N/A,#N/A,FALSE,"on (2)";#N/A,#N/A,FALSE,"BAYON (2)"}</definedName>
    <definedName name="trfax" localSheetId="0" hidden="1">{#N/A,#N/A,FALSE,"on (2)";#N/A,#N/A,FALSE,"BAYON (2)"}</definedName>
    <definedName name="trfax" hidden="1">{#N/A,#N/A,FALSE,"on (2)";#N/A,#N/A,FALSE,"BAYON (2)"}</definedName>
    <definedName name="w" localSheetId="0" hidden="1">{#N/A,#N/A,FALSE,"on (2)";#N/A,#N/A,FALSE,"BAYON (2)"}</definedName>
    <definedName name="w" hidden="1">{#N/A,#N/A,FALSE,"on (2)";#N/A,#N/A,FALSE,"BAYON (2)"}</definedName>
    <definedName name="wrn.resmı." localSheetId="0" hidden="1">{#N/A,#N/A,FALSE,"on (2)";#N/A,#N/A,FALSE,"BAYON (2)"}</definedName>
    <definedName name="wrn.resmı." hidden="1">{#N/A,#N/A,FALSE,"on (2)";#N/A,#N/A,FALSE,"BAYON (2)"}</definedName>
    <definedName name="wrn.suret." localSheetId="0" hidden="1">{#N/A,#N/A,FALSE,"on";#N/A,#N/A,FALSE,"ISBIT";#N/A,#N/A,FALSE,"BAYON";#N/A,#N/A,FALSE,"KIYRAP"}</definedName>
    <definedName name="wrn.suret." hidden="1">{#N/A,#N/A,FALSE,"on";#N/A,#N/A,FALSE,"ISBIT";#N/A,#N/A,FALSE,"BAYON";#N/A,#N/A,FALSE,"KIYRAP"}</definedName>
    <definedName name="ww" localSheetId="0" hidden="1">{#N/A,#N/A,FALSE,"on (2)";#N/A,#N/A,FALSE,"BAYON (2)"}</definedName>
    <definedName name="ww" hidden="1">{#N/A,#N/A,FALSE,"on (2)";#N/A,#N/A,FALSE,"BAYON (2)"}</definedName>
    <definedName name="_xlnm.Print_Area" localSheetId="0">'Toplam Keşif'!$A$1:$M$153</definedName>
    <definedName name="_xlnm.Print_Titles" localSheetId="0">'Toplam Keşif'!$1:$2</definedName>
    <definedName name="yeni" localSheetId="0" hidden="1">{#N/A,#N/A,FALSE,"on (2)";#N/A,#N/A,FALSE,"BAYON (2)"}</definedName>
    <definedName name="yeni" hidden="1">{#N/A,#N/A,FALSE,"on (2)";#N/A,#N/A,FALSE,"BAYON (2)"}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48" i="42" l="1"/>
  <c r="E25" i="43"/>
  <c r="E22" i="43"/>
  <c r="E21" i="43"/>
  <c r="E20" i="43"/>
  <c r="E19" i="43"/>
  <c r="E18" i="43"/>
  <c r="E17" i="43"/>
  <c r="E16" i="43"/>
  <c r="E15" i="43"/>
  <c r="E14" i="43"/>
  <c r="E13" i="43"/>
  <c r="E12" i="43"/>
  <c r="E11" i="43"/>
  <c r="E10" i="43"/>
  <c r="E9" i="43"/>
  <c r="E8" i="43"/>
  <c r="E7" i="43"/>
  <c r="E6" i="43"/>
  <c r="E23" i="43"/>
  <c r="K4" i="42"/>
  <c r="K5" i="42"/>
  <c r="I6" i="42"/>
  <c r="K7" i="42"/>
  <c r="K8" i="42"/>
  <c r="K9" i="42"/>
  <c r="I10" i="42"/>
  <c r="K11" i="42"/>
  <c r="K12" i="42"/>
  <c r="K13" i="42"/>
  <c r="K15" i="42"/>
  <c r="K17" i="42"/>
  <c r="K18" i="42"/>
  <c r="I19" i="42"/>
  <c r="I21" i="42"/>
  <c r="K22" i="42"/>
  <c r="K23" i="42"/>
  <c r="K25" i="42"/>
  <c r="K26" i="42"/>
  <c r="K28" i="42"/>
  <c r="K29" i="42"/>
  <c r="K30" i="42"/>
  <c r="K32" i="42"/>
  <c r="K33" i="42"/>
  <c r="K35" i="42"/>
  <c r="K36" i="42"/>
  <c r="K38" i="42"/>
  <c r="K39" i="42"/>
  <c r="K41" i="42"/>
  <c r="K43" i="42"/>
  <c r="I44" i="42"/>
  <c r="I46" i="42"/>
  <c r="I48" i="42"/>
  <c r="I50" i="42"/>
  <c r="I52" i="42"/>
  <c r="I53" i="42"/>
  <c r="K54" i="42"/>
  <c r="K55" i="42"/>
  <c r="I56" i="42"/>
  <c r="K57" i="42"/>
  <c r="K58" i="42"/>
  <c r="K59" i="42"/>
  <c r="K60" i="42"/>
  <c r="I61" i="42"/>
  <c r="K63" i="42"/>
  <c r="K64" i="42"/>
  <c r="K66" i="42"/>
  <c r="K68" i="42"/>
  <c r="K70" i="42"/>
  <c r="K72" i="42"/>
  <c r="K74" i="42"/>
  <c r="K75" i="42"/>
  <c r="K76" i="42"/>
  <c r="K78" i="42"/>
  <c r="K79" i="42"/>
  <c r="K81" i="42"/>
  <c r="K83" i="42"/>
  <c r="K85" i="42"/>
  <c r="I86" i="42"/>
  <c r="I88" i="42"/>
  <c r="I90" i="42"/>
  <c r="I92" i="42"/>
  <c r="K94" i="42"/>
  <c r="K95" i="42"/>
  <c r="K96" i="42"/>
  <c r="K98" i="42"/>
  <c r="K99" i="42"/>
  <c r="K101" i="42"/>
  <c r="K103" i="42"/>
  <c r="K104" i="42"/>
  <c r="K106" i="42"/>
  <c r="K108" i="42"/>
  <c r="K110" i="42"/>
  <c r="K112" i="42"/>
  <c r="K114" i="42"/>
  <c r="K116" i="42"/>
  <c r="I117" i="42"/>
  <c r="K118" i="42"/>
  <c r="I119" i="42"/>
  <c r="I120" i="42"/>
  <c r="K121" i="42"/>
  <c r="I122" i="42"/>
  <c r="K123" i="42"/>
  <c r="I124" i="42"/>
  <c r="K125" i="42"/>
  <c r="I126" i="42"/>
  <c r="K127" i="42"/>
  <c r="I128" i="42"/>
  <c r="K129" i="42"/>
  <c r="K136" i="42"/>
  <c r="K138" i="42"/>
  <c r="I3" i="42"/>
  <c r="N3" i="42"/>
  <c r="N4" i="42"/>
  <c r="L4" i="42"/>
  <c r="M4" i="42"/>
  <c r="G44" i="42"/>
  <c r="G52" i="42"/>
  <c r="G138" i="42"/>
  <c r="G136" i="42"/>
  <c r="G129" i="42"/>
  <c r="G128" i="42"/>
  <c r="G127" i="42"/>
  <c r="G126" i="42"/>
  <c r="G125" i="42"/>
  <c r="G124" i="42"/>
  <c r="G123" i="42"/>
  <c r="G122" i="42"/>
  <c r="G121" i="42"/>
  <c r="G120" i="42"/>
  <c r="G119" i="42"/>
  <c r="G118" i="42"/>
  <c r="G117" i="42"/>
  <c r="G116" i="42"/>
  <c r="G114" i="42"/>
  <c r="G112" i="42"/>
  <c r="G110" i="42"/>
  <c r="G108" i="42"/>
  <c r="G106" i="42"/>
  <c r="G104" i="42"/>
  <c r="G103" i="42"/>
  <c r="G101" i="42"/>
  <c r="G99" i="42"/>
  <c r="G98" i="42"/>
  <c r="G96" i="42"/>
  <c r="G95" i="42"/>
  <c r="G94" i="42"/>
  <c r="G93" i="42"/>
  <c r="G92" i="42"/>
  <c r="G91" i="42"/>
  <c r="G90" i="42"/>
  <c r="G89" i="42"/>
  <c r="G88" i="42"/>
  <c r="G87" i="42"/>
  <c r="G86" i="42"/>
  <c r="G85" i="42"/>
  <c r="G83" i="42"/>
  <c r="G81" i="42"/>
  <c r="G79" i="42"/>
  <c r="G78" i="42"/>
  <c r="G76" i="42"/>
  <c r="G75" i="42"/>
  <c r="G74" i="42"/>
  <c r="G72" i="42"/>
  <c r="G70" i="42"/>
  <c r="G68" i="42"/>
  <c r="G66" i="42"/>
  <c r="G64" i="42"/>
  <c r="G63" i="42"/>
  <c r="G61" i="42"/>
  <c r="G60" i="42"/>
  <c r="G59" i="42"/>
  <c r="G58" i="42"/>
  <c r="G57" i="42"/>
  <c r="G56" i="42"/>
  <c r="G55" i="42"/>
  <c r="G54" i="42"/>
  <c r="G53" i="42"/>
  <c r="G51" i="42"/>
  <c r="G50" i="42"/>
  <c r="G49" i="42"/>
  <c r="G48" i="42"/>
  <c r="G47" i="42"/>
  <c r="G46" i="42"/>
  <c r="G45" i="42"/>
  <c r="G43" i="42"/>
  <c r="G41" i="42"/>
  <c r="G39" i="42"/>
  <c r="G38" i="42"/>
  <c r="G36" i="42"/>
  <c r="G35" i="42"/>
  <c r="G33" i="42"/>
  <c r="G32" i="42"/>
  <c r="G30" i="42"/>
  <c r="G29" i="42"/>
  <c r="G28" i="42"/>
  <c r="G26" i="42"/>
  <c r="G25" i="42"/>
  <c r="G23" i="42"/>
  <c r="G22" i="42"/>
  <c r="G21" i="42"/>
  <c r="G20" i="42"/>
  <c r="G19" i="42"/>
  <c r="G18" i="42"/>
  <c r="G17" i="42"/>
  <c r="G15" i="42"/>
  <c r="G13" i="42"/>
  <c r="G12" i="42"/>
  <c r="G11" i="42"/>
  <c r="G10" i="42"/>
  <c r="G9" i="42"/>
  <c r="G8" i="42"/>
  <c r="G7" i="42"/>
  <c r="G6" i="42"/>
  <c r="G5" i="42"/>
  <c r="G4" i="42"/>
  <c r="G3" i="42"/>
  <c r="L3" i="42"/>
  <c r="M3" i="42"/>
  <c r="I139" i="42"/>
  <c r="J145" i="42"/>
  <c r="J150" i="42"/>
  <c r="N5" i="42"/>
  <c r="N6" i="42"/>
  <c r="L6" i="42"/>
  <c r="M6" i="42"/>
  <c r="K139" i="42"/>
  <c r="J146" i="42"/>
  <c r="G139" i="42"/>
  <c r="L5" i="42"/>
  <c r="M5" i="42"/>
  <c r="N7" i="42"/>
  <c r="N8" i="42"/>
  <c r="L7" i="42"/>
  <c r="M7" i="42"/>
  <c r="N9" i="42"/>
  <c r="L8" i="42"/>
  <c r="M8" i="42"/>
  <c r="N10" i="42"/>
  <c r="L9" i="42"/>
  <c r="M9" i="42"/>
  <c r="N11" i="42"/>
  <c r="L10" i="42"/>
  <c r="M10" i="42"/>
  <c r="N12" i="42"/>
  <c r="L11" i="42"/>
  <c r="M11" i="42"/>
  <c r="N13" i="42"/>
  <c r="L12" i="42"/>
  <c r="M12" i="42"/>
  <c r="N14" i="42"/>
  <c r="N15" i="42"/>
  <c r="L13" i="42"/>
  <c r="M13" i="42"/>
  <c r="N16" i="42"/>
  <c r="L15" i="42"/>
  <c r="M15" i="42"/>
  <c r="N17" i="42"/>
  <c r="N18" i="42"/>
  <c r="L17" i="42"/>
  <c r="M17" i="42"/>
  <c r="N19" i="42"/>
  <c r="L18" i="42"/>
  <c r="M18" i="42"/>
  <c r="N20" i="42"/>
  <c r="L19" i="42"/>
  <c r="M19" i="42"/>
  <c r="N21" i="42"/>
  <c r="L20" i="42"/>
  <c r="M20" i="42"/>
  <c r="N22" i="42"/>
  <c r="L21" i="42"/>
  <c r="M21" i="42"/>
  <c r="N23" i="42"/>
  <c r="L22" i="42"/>
  <c r="M22" i="42"/>
  <c r="N24" i="42"/>
  <c r="L23" i="42"/>
  <c r="M23" i="42"/>
  <c r="N25" i="42"/>
  <c r="N26" i="42"/>
  <c r="L25" i="42"/>
  <c r="M25" i="42"/>
  <c r="N27" i="42"/>
  <c r="L26" i="42"/>
  <c r="M26" i="42"/>
  <c r="N28" i="42"/>
  <c r="N29" i="42"/>
  <c r="L28" i="42"/>
  <c r="M28" i="42"/>
  <c r="N30" i="42"/>
  <c r="L29" i="42"/>
  <c r="M29" i="42"/>
  <c r="N31" i="42"/>
  <c r="L30" i="42"/>
  <c r="M30" i="42"/>
  <c r="N32" i="42"/>
  <c r="N33" i="42"/>
  <c r="L32" i="42"/>
  <c r="M32" i="42"/>
  <c r="N34" i="42"/>
  <c r="L33" i="42"/>
  <c r="M33" i="42"/>
  <c r="N35" i="42"/>
  <c r="N36" i="42"/>
  <c r="L35" i="42"/>
  <c r="M35" i="42"/>
  <c r="N37" i="42"/>
  <c r="L36" i="42"/>
  <c r="M36" i="42"/>
  <c r="N38" i="42"/>
  <c r="N39" i="42"/>
  <c r="L38" i="42"/>
  <c r="M38" i="42"/>
  <c r="N40" i="42"/>
  <c r="L39" i="42"/>
  <c r="M39" i="42"/>
  <c r="N41" i="42"/>
  <c r="N42" i="42"/>
  <c r="L41" i="42"/>
  <c r="M41" i="42"/>
  <c r="N43" i="42"/>
  <c r="N44" i="42"/>
  <c r="L43" i="42"/>
  <c r="M43" i="42"/>
  <c r="N45" i="42"/>
  <c r="N46" i="42"/>
  <c r="N47" i="42"/>
  <c r="N48" i="42"/>
  <c r="N49" i="42"/>
  <c r="N50" i="42"/>
  <c r="N51" i="42"/>
  <c r="N52" i="42"/>
  <c r="N53" i="42"/>
  <c r="N54" i="42"/>
  <c r="L53" i="42"/>
  <c r="M53" i="42"/>
  <c r="N55" i="42"/>
  <c r="L54" i="42"/>
  <c r="M54" i="42"/>
  <c r="N56" i="42"/>
  <c r="L55" i="42"/>
  <c r="M55" i="42"/>
  <c r="N57" i="42"/>
  <c r="L56" i="42"/>
  <c r="M56" i="42"/>
  <c r="N58" i="42"/>
  <c r="L57" i="42"/>
  <c r="M57" i="42"/>
  <c r="N59" i="42"/>
  <c r="L58" i="42"/>
  <c r="M58" i="42"/>
  <c r="N60" i="42"/>
  <c r="L59" i="42"/>
  <c r="M59" i="42"/>
  <c r="N61" i="42"/>
  <c r="L60" i="42"/>
  <c r="M60" i="42"/>
  <c r="N62" i="42"/>
  <c r="L61" i="42"/>
  <c r="M61" i="42"/>
  <c r="N63" i="42"/>
  <c r="N64" i="42"/>
  <c r="L63" i="42"/>
  <c r="M63" i="42"/>
  <c r="N65" i="42"/>
  <c r="L64" i="42"/>
  <c r="M64" i="42"/>
  <c r="N66" i="42"/>
  <c r="N67" i="42"/>
  <c r="L66" i="42"/>
  <c r="M66" i="42"/>
  <c r="N68" i="42"/>
  <c r="N69" i="42"/>
  <c r="L68" i="42"/>
  <c r="M68" i="42"/>
  <c r="N70" i="42"/>
  <c r="N71" i="42"/>
  <c r="L70" i="42"/>
  <c r="M70" i="42"/>
  <c r="N72" i="42"/>
  <c r="N73" i="42"/>
  <c r="L72" i="42"/>
  <c r="M72" i="42"/>
  <c r="N74" i="42"/>
  <c r="N75" i="42"/>
  <c r="L74" i="42"/>
  <c r="M74" i="42"/>
  <c r="N76" i="42"/>
  <c r="L75" i="42"/>
  <c r="M75" i="42"/>
  <c r="N77" i="42"/>
  <c r="L76" i="42"/>
  <c r="M76" i="42"/>
  <c r="N78" i="42"/>
  <c r="N79" i="42"/>
  <c r="L78" i="42"/>
  <c r="M78" i="42"/>
  <c r="N80" i="42"/>
  <c r="L79" i="42"/>
  <c r="M79" i="42"/>
  <c r="N81" i="42"/>
  <c r="N82" i="42"/>
  <c r="L81" i="42"/>
  <c r="M81" i="42"/>
  <c r="N83" i="42"/>
  <c r="N84" i="42"/>
  <c r="L83" i="42"/>
  <c r="M83" i="42"/>
  <c r="N85" i="42"/>
  <c r="N86" i="42"/>
  <c r="L85" i="42"/>
  <c r="M85" i="42"/>
  <c r="N87" i="42"/>
  <c r="N88" i="42"/>
  <c r="N89" i="42"/>
  <c r="N90" i="42"/>
  <c r="N91" i="42"/>
  <c r="N92" i="42"/>
  <c r="N93" i="42"/>
  <c r="N94" i="42"/>
  <c r="N95" i="42"/>
  <c r="L94" i="42"/>
  <c r="M94" i="42"/>
  <c r="N96" i="42"/>
  <c r="L95" i="42"/>
  <c r="M95" i="42"/>
  <c r="N97" i="42"/>
  <c r="L96" i="42"/>
  <c r="M96" i="42"/>
  <c r="N98" i="42"/>
  <c r="N99" i="42"/>
  <c r="L98" i="42"/>
  <c r="M98" i="42"/>
  <c r="N100" i="42"/>
  <c r="L99" i="42"/>
  <c r="M99" i="42"/>
  <c r="N101" i="42"/>
  <c r="N102" i="42"/>
  <c r="L101" i="42"/>
  <c r="M101" i="42"/>
  <c r="N103" i="42"/>
  <c r="N104" i="42"/>
  <c r="L103" i="42"/>
  <c r="M103" i="42"/>
  <c r="N105" i="42"/>
  <c r="L104" i="42"/>
  <c r="M104" i="42"/>
  <c r="N106" i="42"/>
  <c r="N107" i="42"/>
  <c r="L106" i="42"/>
  <c r="M106" i="42"/>
  <c r="N108" i="42"/>
  <c r="N109" i="42"/>
  <c r="L108" i="42"/>
  <c r="M108" i="42"/>
  <c r="N110" i="42"/>
  <c r="N111" i="42"/>
  <c r="L110" i="42"/>
  <c r="M110" i="42"/>
  <c r="N112" i="42"/>
  <c r="N113" i="42"/>
  <c r="L112" i="42"/>
  <c r="M112" i="42"/>
  <c r="N114" i="42"/>
  <c r="N115" i="42"/>
  <c r="L114" i="42"/>
  <c r="M114" i="42"/>
  <c r="N116" i="42"/>
  <c r="N117" i="42"/>
  <c r="L116" i="42"/>
  <c r="M116" i="42"/>
  <c r="N118" i="42"/>
  <c r="L117" i="42"/>
  <c r="M117" i="42"/>
  <c r="N119" i="42"/>
  <c r="L118" i="42"/>
  <c r="M118" i="42"/>
  <c r="N120" i="42"/>
  <c r="L119" i="42"/>
  <c r="M119" i="42"/>
  <c r="N121" i="42"/>
  <c r="L120" i="42"/>
  <c r="M120" i="42"/>
  <c r="N122" i="42"/>
  <c r="L121" i="42"/>
  <c r="M121" i="42"/>
  <c r="N123" i="42"/>
  <c r="L122" i="42"/>
  <c r="M122" i="42"/>
  <c r="N124" i="42"/>
  <c r="L123" i="42"/>
  <c r="M123" i="42"/>
  <c r="N125" i="42"/>
  <c r="L124" i="42"/>
  <c r="M124" i="42"/>
  <c r="N126" i="42"/>
  <c r="L125" i="42"/>
  <c r="M125" i="42"/>
  <c r="N127" i="42"/>
  <c r="L126" i="42"/>
  <c r="M126" i="42"/>
  <c r="N128" i="42"/>
  <c r="L127" i="42"/>
  <c r="M127" i="42"/>
  <c r="N129" i="42"/>
  <c r="L128" i="42"/>
  <c r="M128" i="42"/>
  <c r="N130" i="42"/>
  <c r="L129" i="42"/>
  <c r="M129" i="42"/>
  <c r="N131" i="42"/>
  <c r="N132" i="42"/>
  <c r="N133" i="42"/>
  <c r="N134" i="42"/>
  <c r="N135" i="42"/>
  <c r="N136" i="42"/>
  <c r="N137" i="42"/>
  <c r="L136" i="42"/>
  <c r="M136" i="42"/>
  <c r="N138" i="42"/>
  <c r="L138" i="42"/>
  <c r="M138" i="42"/>
  <c r="M139" i="42"/>
  <c r="J151" i="42"/>
  <c r="J152" i="42"/>
</calcChain>
</file>

<file path=xl/sharedStrings.xml><?xml version="1.0" encoding="utf-8"?>
<sst xmlns="http://schemas.openxmlformats.org/spreadsheetml/2006/main" count="590" uniqueCount="324">
  <si>
    <t>Y</t>
  </si>
  <si>
    <t>30.4.2.YM</t>
  </si>
  <si>
    <t>30.4.2.MON</t>
  </si>
  <si>
    <t>KG</t>
  </si>
  <si>
    <t>ADT</t>
  </si>
  <si>
    <t>M</t>
  </si>
  <si>
    <t>65x65x7 mm, 2m GAL.TOP.KAZIĞI MONTAJI</t>
  </si>
  <si>
    <t>65x65x7 mm, 2m GAL.TOP.KAZIĞI</t>
  </si>
  <si>
    <t>26.2.4.MON</t>
  </si>
  <si>
    <t>TEHLİKE LEVHASI MONTAJI</t>
  </si>
  <si>
    <t>26.2.4.YM</t>
  </si>
  <si>
    <t>TEHLİKE LEVHASI</t>
  </si>
  <si>
    <t>5.1.1.DM</t>
  </si>
  <si>
    <t>MÜŞ.ŞEB.İÇİN BOY.KAY.DEM.DİREK DEMONTAJI</t>
  </si>
  <si>
    <t>60.4.4</t>
  </si>
  <si>
    <t>8.1.1.MON</t>
  </si>
  <si>
    <t>2 mm GAL.SAC KABLO KANALI MONTAJI</t>
  </si>
  <si>
    <t>8.1.1.YM</t>
  </si>
  <si>
    <t>2 mm GAL.SAC KABLO KANALI</t>
  </si>
  <si>
    <t>9.2.0.1.DM</t>
  </si>
  <si>
    <t>ROSE ALÜMİNYUM İLETKEN DEMONTAJI</t>
  </si>
  <si>
    <t>60.4.4.MON</t>
  </si>
  <si>
    <t>Malzeme Kodu</t>
  </si>
  <si>
    <t>Malzeme Adı</t>
  </si>
  <si>
    <t>Temini</t>
  </si>
  <si>
    <t>Miktar</t>
  </si>
  <si>
    <t>Ş</t>
  </si>
  <si>
    <t>30.4.1.YM</t>
  </si>
  <si>
    <t>30.4.1.MON</t>
  </si>
  <si>
    <t>95 mm² ÖR.GAL.ÇEL.TOP.İLETKENİ</t>
  </si>
  <si>
    <t>95 mm² ÖR.GAL.ÇEL.TOP.İLETKENİ MONTAJI</t>
  </si>
  <si>
    <t>BARKOD PLAKASI</t>
  </si>
  <si>
    <t>BARKOD PLAKASI MONTAJI</t>
  </si>
  <si>
    <t>9.2.0.4.DM</t>
  </si>
  <si>
    <t>PANSY ALÜMİNYUM İLETKEN DEMONTAJI</t>
  </si>
  <si>
    <t>M3</t>
  </si>
  <si>
    <t>32.5.15</t>
  </si>
  <si>
    <t>32.5.15.MON</t>
  </si>
  <si>
    <t>YERALTI KAB. NAYY 0.6/1 KV 4X16ŞMM2</t>
  </si>
  <si>
    <t>4x16 mm² 0,6/1 kV NAYY KABLO MONTAJI</t>
  </si>
  <si>
    <t>30.2.4.YM</t>
  </si>
  <si>
    <t>30.2.4.MON</t>
  </si>
  <si>
    <t>32.5.11</t>
  </si>
  <si>
    <t>32.5.11.MON</t>
  </si>
  <si>
    <t>32.40.7.MON</t>
  </si>
  <si>
    <t>95 mm² NAYY TOPRAKLAMA KABLOSU</t>
  </si>
  <si>
    <t>95 mm² NAYY TOPRAKLAMA KABLOSU MONTAJI</t>
  </si>
  <si>
    <t>YERALTI KAB. NAYY 0.6/1 KV 3X150+70ŞMM2</t>
  </si>
  <si>
    <t>3x150+70 mm² 0,6/1 kV NAYY KABLO MONTAJI</t>
  </si>
  <si>
    <t>TUVANEN KANAL YAPILMASI</t>
  </si>
  <si>
    <t>Birim</t>
  </si>
  <si>
    <t>Yüklenici Tutarı</t>
  </si>
  <si>
    <t>NOT.1: Yukarıdaki Keşif ön projede yer alan miktarlardır. Uygulama esnasında miktarlar ve kalemler değişiklik gösterebilir.</t>
  </si>
  <si>
    <t>NOT.2: Talep edilmesi halinde ön projeler verilecektir.</t>
  </si>
  <si>
    <t>3.1.2.2.YM</t>
  </si>
  <si>
    <t>3.1.2.2.MON</t>
  </si>
  <si>
    <t>15.2.10.YM</t>
  </si>
  <si>
    <t>15.2.10.MON</t>
  </si>
  <si>
    <t>32.5.9</t>
  </si>
  <si>
    <t>32.5.9.MON</t>
  </si>
  <si>
    <t>Ø8 mm BAKIR BARA</t>
  </si>
  <si>
    <t>Ø8 mm BAKIR BARA MONTAJI</t>
  </si>
  <si>
    <t>36 KV,10 KA MET.OKS.PARAFUDR</t>
  </si>
  <si>
    <t>36 KV,10 KA MET.OKS.PARAFUDR MONTAJI</t>
  </si>
  <si>
    <t>YERALTI KAB. NAYY 0.6/1 KV 3X95+50ŞMM2</t>
  </si>
  <si>
    <t>3x95+50 mm² 0,6/1 kV NAYY KABLO MONTAJI</t>
  </si>
  <si>
    <t>22.4.1.8</t>
  </si>
  <si>
    <t>22.4.1.8.MON</t>
  </si>
  <si>
    <t>22.4.2.4</t>
  </si>
  <si>
    <t>22.4.2.4.MON</t>
  </si>
  <si>
    <t>22.4.4.7.5</t>
  </si>
  <si>
    <t>22.4.4.7.5.MON</t>
  </si>
  <si>
    <t>32.5.8</t>
  </si>
  <si>
    <t>32.5.8.MON</t>
  </si>
  <si>
    <t>32.34.11.A.6</t>
  </si>
  <si>
    <t>HÜCRE YÜK AYIRICILI G/Ç 36KV 630A 16KA</t>
  </si>
  <si>
    <t>630 A YÜK AYI.GİR.-ÇIK.HÜC.MONTAJI</t>
  </si>
  <si>
    <t>HÜCRE SİG. YÜK AYR. TRAFO 36KV 630A 16KA</t>
  </si>
  <si>
    <t>200 A SİG.YÜK AYI.TR KOR.HÜC.MONTAJI</t>
  </si>
  <si>
    <t>630 A KESİCİLİ HÜCRE (ATO:150-300/5-5)</t>
  </si>
  <si>
    <t>630A KES.HÜ.(150-300/5-5) MONTAJI</t>
  </si>
  <si>
    <t>YERALTI KAB. NAYY 0.6/1 KV 3X70+35ŞMM2</t>
  </si>
  <si>
    <t>3x70+35 mm² 0,6/1 kV NAYY KABLO MONTAJI</t>
  </si>
  <si>
    <t>KABLO BAŞ.DAH.BÜZ.AL 1X150S/25MM2</t>
  </si>
  <si>
    <t>9.5.0.14.DM</t>
  </si>
  <si>
    <t>9.5.0.15.DM</t>
  </si>
  <si>
    <t>3x16/16+25 mm² ALPEK KABLO DEMONTAJI</t>
  </si>
  <si>
    <t>3x25/16+35 mm² ALPEK KABLO DEMONTAJI</t>
  </si>
  <si>
    <t>5.5.1.1.YM</t>
  </si>
  <si>
    <t>5.5.1.1.MON</t>
  </si>
  <si>
    <t>9.3.0.2</t>
  </si>
  <si>
    <t>9.3.0.2.MON</t>
  </si>
  <si>
    <t>11.6.0.4.YM</t>
  </si>
  <si>
    <t>11.6.0.4.MON</t>
  </si>
  <si>
    <t>17.7.8.YM</t>
  </si>
  <si>
    <t>17.7.8.MON</t>
  </si>
  <si>
    <t>24.4.2.3</t>
  </si>
  <si>
    <t>24.4.2.3.MON</t>
  </si>
  <si>
    <t>24.4.5.1.1</t>
  </si>
  <si>
    <t>24.4.5.1.1.MON</t>
  </si>
  <si>
    <t>31.6.3.8</t>
  </si>
  <si>
    <t>31.6.3.8.MON</t>
  </si>
  <si>
    <t>MÜŞ.ŞEB.İÇİN KAY.GAL.DEM.DİREK</t>
  </si>
  <si>
    <t>MÜŞ.ŞEB.İÇİN KA.GA.DEM.DİREK MONTAJI</t>
  </si>
  <si>
    <t>ALÜMİNYUM-ÇELİKLİ SWALLOW (109.96KG/KM)</t>
  </si>
  <si>
    <t>SWALLOW ÇELİK-AL.İLETKEN MONTAJI</t>
  </si>
  <si>
    <t>K1 KOMPOZİT İZO.(Normal Tip)</t>
  </si>
  <si>
    <t>K1 KOMPOZİT İZO.(Normal Tip) MONTAJI</t>
  </si>
  <si>
    <t>36KV, 630A, 12,5KA H.SİG.AY.</t>
  </si>
  <si>
    <t>36KV, 630A, 12,5KA H.SİG.AY. MONTAJI</t>
  </si>
  <si>
    <t>DAĞITIM PANOSU HARİCİ TİP 160 KVA</t>
  </si>
  <si>
    <t>160 kVA HARİCİ TİP AG PANOSU MONTAJI</t>
  </si>
  <si>
    <t>ABONE PANOSU CAM ELYAF 1 SAYAÇLI</t>
  </si>
  <si>
    <t>1 SAYAÇLI AB.PANOSU(C.Elyaf) MONTAJI</t>
  </si>
  <si>
    <t>HERMETİK TRAFO 33/0.4-0.231KV  160 KVA</t>
  </si>
  <si>
    <t>160KVA, 33/0,4-0,231KV TR. MONTAJI</t>
  </si>
  <si>
    <t>24.4.2.2</t>
  </si>
  <si>
    <t>24.4.2.2.MON</t>
  </si>
  <si>
    <t>DAĞITIM PANOSU HARİCİ TİP 100 KVA</t>
  </si>
  <si>
    <t>100 kVA HARİCİ TİP AG PANOSU MONTAJI</t>
  </si>
  <si>
    <t>5.5.1.1.DM</t>
  </si>
  <si>
    <t>5.5.1.1.DMM</t>
  </si>
  <si>
    <t>5.5.1.2.YM</t>
  </si>
  <si>
    <t>5.5.1.2.MON</t>
  </si>
  <si>
    <t>5.8.2.1.DM</t>
  </si>
  <si>
    <t>5.8.2.1.DMM</t>
  </si>
  <si>
    <t>5.8.2.2</t>
  </si>
  <si>
    <t>5.8.2.2.MON</t>
  </si>
  <si>
    <t>5.8.5.1</t>
  </si>
  <si>
    <t>5.8.5.1.MON</t>
  </si>
  <si>
    <t>5.8.5.1.DM</t>
  </si>
  <si>
    <t>8.0.1.YM</t>
  </si>
  <si>
    <t>8.0.1.MON</t>
  </si>
  <si>
    <t>9.2.0.4</t>
  </si>
  <si>
    <t>9.2.0.4.MON</t>
  </si>
  <si>
    <t>9.3.0.2.DM</t>
  </si>
  <si>
    <t>9.5.0.15</t>
  </si>
  <si>
    <t>9.5.0.15.MON</t>
  </si>
  <si>
    <t>9.5.0.16</t>
  </si>
  <si>
    <t>9.5.0.16.MON</t>
  </si>
  <si>
    <t>9.5.0.16.DM</t>
  </si>
  <si>
    <t>9.5.0.17</t>
  </si>
  <si>
    <t>9.5.0.17.MON</t>
  </si>
  <si>
    <t>9.5.0.17.DM</t>
  </si>
  <si>
    <t>9.5.0.18</t>
  </si>
  <si>
    <t>9.5.0.18.MON</t>
  </si>
  <si>
    <t>9.5.0.19</t>
  </si>
  <si>
    <t>9.5.0.19.MON</t>
  </si>
  <si>
    <t>11.4.1.DM</t>
  </si>
  <si>
    <t>11.4.2.YM</t>
  </si>
  <si>
    <t>11.4.2.MON</t>
  </si>
  <si>
    <t>15.2.10.DM</t>
  </si>
  <si>
    <t>17.7.8.DM</t>
  </si>
  <si>
    <t>17.8.0.8.DM</t>
  </si>
  <si>
    <t>17.8.0.8.DMM</t>
  </si>
  <si>
    <t>17.9.30.YM</t>
  </si>
  <si>
    <t>20.5.1.1.DM</t>
  </si>
  <si>
    <t>22.7.7</t>
  </si>
  <si>
    <t>22.7.7.MON</t>
  </si>
  <si>
    <t>32.4.1.3</t>
  </si>
  <si>
    <t>32.4.1.3.MON</t>
  </si>
  <si>
    <t>32.4.1.3.DM</t>
  </si>
  <si>
    <t>32.4.1.5</t>
  </si>
  <si>
    <t>32.4.1.5.MON</t>
  </si>
  <si>
    <t>32.11.4.4</t>
  </si>
  <si>
    <t>32.11.4.4.MON</t>
  </si>
  <si>
    <t>32.21.0.48.YM</t>
  </si>
  <si>
    <t>32.21.0.48.MON</t>
  </si>
  <si>
    <t>32.21.0.50.YM</t>
  </si>
  <si>
    <t>32.21.0.60.YM</t>
  </si>
  <si>
    <t>32.21.0.60.MON</t>
  </si>
  <si>
    <t>32.21.0.61.YM</t>
  </si>
  <si>
    <t>32.21.0.61.MON</t>
  </si>
  <si>
    <t>32.21.0.64.YM</t>
  </si>
  <si>
    <t>32.21.0.64.MON</t>
  </si>
  <si>
    <t>32.21.0.68.YM</t>
  </si>
  <si>
    <t>32.21.0.68.MON</t>
  </si>
  <si>
    <t>32.21.0.69.YM</t>
  </si>
  <si>
    <t>32.21.0.69.MON</t>
  </si>
  <si>
    <t>32.34.14.4</t>
  </si>
  <si>
    <t>32.34.14.6</t>
  </si>
  <si>
    <t>MÜŞ.ŞEB.İÇİN KA.GA.DEM.DİREK</t>
  </si>
  <si>
    <t>MÜŞ.ŞEB.İÇİN KA.GA.DE.DİREK DEM.MONTAJI</t>
  </si>
  <si>
    <t>ENH İÇİN KAY.GAL. DEMİR DİREK</t>
  </si>
  <si>
    <t>ENH İÇİN KAY.GAL. DEMİR DİREK MONTAJI</t>
  </si>
  <si>
    <t>9 m AĞAÇ DİREK (ORTA) DEMONTAJI</t>
  </si>
  <si>
    <t>9 m AĞAÇ DİREK(ORTA)DEM.MONTAJI</t>
  </si>
  <si>
    <t>AĞAÇ DİREK 9 M AĞIR (TEPE ÇAPI 18-20 CM)</t>
  </si>
  <si>
    <t>9 m AĞAÇ DİREK (AĞIR) MONTAJI</t>
  </si>
  <si>
    <t>AĞAÇ DİREK 12 M (TEPE ÇAPI 16-18 CM)</t>
  </si>
  <si>
    <t>12 m AĞAÇ DİREK (ORTA) MONTAJI</t>
  </si>
  <si>
    <t>12 m AĞAÇ DİREK (ORTA) DEMONTAJI</t>
  </si>
  <si>
    <t>3/4 '' GAZ BORUSU (2,15 m)</t>
  </si>
  <si>
    <t>3/4 '' GAZ BORUSU (2,15 m) MONTAJI</t>
  </si>
  <si>
    <t>ALÜMİNYUM İLETKEN PANSY (118.32 KG/KM)</t>
  </si>
  <si>
    <t>PANSY ALÜMİNYUM İLETKEN MONTAJI</t>
  </si>
  <si>
    <t>SWALLOW ÇELİK-AL.İLETKEN DEMONTAJI</t>
  </si>
  <si>
    <t>ALPEK KABLO  3X25/16+35 MM^2</t>
  </si>
  <si>
    <t>3x25/16+35 mm² ALPEK KABLO MONTAJI</t>
  </si>
  <si>
    <t>ALPEK KABLO  3X35/16+50 MM^2</t>
  </si>
  <si>
    <t>3x35/16+50 mm² ALPEK KABLO MONTAJI</t>
  </si>
  <si>
    <t>3x35/16+50 mm² ALPEK KABLO DEMONTAJI</t>
  </si>
  <si>
    <t>ALPEK KABLO  3X50/16+70 MM^2</t>
  </si>
  <si>
    <t>3x50/16+70 mm² ALPEK KABLO MONTAJI</t>
  </si>
  <si>
    <t>3x50/16+70 mm² ALPEK KABLO DEMONTAJI</t>
  </si>
  <si>
    <t>ALPEK KABLO  3X70/16+95 MM^2</t>
  </si>
  <si>
    <t>3x70/16+95 mm² ALPEK KABLO MONTAJI</t>
  </si>
  <si>
    <t>ALPEK KABLO  3X95+1X16+120 MM^2</t>
  </si>
  <si>
    <t>3x95/16+120 mm² ALPEK KABLO MONTAJI</t>
  </si>
  <si>
    <t>N-80 İZOLATÖR DEMONTAJI</t>
  </si>
  <si>
    <t>N-95 İZOLATÖR</t>
  </si>
  <si>
    <t>N-95 İZOLATÖR MONTAJI</t>
  </si>
  <si>
    <t>36 KV,10 KA MET.OKS.PARAFUDR DEMONTAJI</t>
  </si>
  <si>
    <t>36KV, 630A, 12,5KA H.SİG.AY.DEMONTAJI</t>
  </si>
  <si>
    <t>36KV, 630A, 12,5KA H.ST.AY.DEMONTAJI</t>
  </si>
  <si>
    <t>36KV, 630A, 12,5KA H.ST.AY. DEM.MONTAJI</t>
  </si>
  <si>
    <t>36KV, 6A, L=635 mm SİG.BUŞONU</t>
  </si>
  <si>
    <t>70 W SODYUM BUHARLI ARMATÜR DEMONTAJI</t>
  </si>
  <si>
    <t>BETON KÖŞK (BOŞ) TİP-2H/D</t>
  </si>
  <si>
    <t>TİP-2H/D BOŞ BETON KÖŞK MONTAJI</t>
  </si>
  <si>
    <t>0.6/1KV. NVV(NYM) 2X 6 MM^2 KABLO</t>
  </si>
  <si>
    <t>2x6 mm² 500 V NYM KABLO MONTAJI</t>
  </si>
  <si>
    <t>2x6 mm² 500 V NYM KABLO DEMONTAJI</t>
  </si>
  <si>
    <t>0.6/1KV. NVV(NYM) 4X 6 MM^2 KABLO</t>
  </si>
  <si>
    <t>4x6 mm² 500 V NYM KABLO MONTAJI</t>
  </si>
  <si>
    <t>ALÜMİN.XLPE KAB.20,3/35 KV 1X95Ş/16 MM2</t>
  </si>
  <si>
    <t>1x95/16 mm² 20,3/35 KV AL.KA. MONTAJI</t>
  </si>
  <si>
    <t>4x10 mm² 0,6/1 KV D.H.K.BAŞ</t>
  </si>
  <si>
    <t>4x10 mm² 0,6/1 KV D.H.K.BAŞ MONTAJI</t>
  </si>
  <si>
    <t>4x25 mm² 0,6/1 KV D.H.K.BAŞ</t>
  </si>
  <si>
    <t>3x50/25 mm² 0,6/1 KV D.H.K.BAŞ</t>
  </si>
  <si>
    <t>3x50/25 mm² 0,6/1 KV D.H.K.BAŞ MONTAJI</t>
  </si>
  <si>
    <t>3x70/35 mm² 0,6/1 KV D.H.K.BAŞ</t>
  </si>
  <si>
    <t>3x70/35 mm² 0,6/1 KV D.H.K.BAŞ MONTAJI</t>
  </si>
  <si>
    <t>3x150/70 mm² 0,6/1 KV D.H.K.BAŞ</t>
  </si>
  <si>
    <t>3x150/70 mm² 0,6/1 KV D.H.K.BAŞ MONTAJI</t>
  </si>
  <si>
    <t>2x16 mm² 0,6/1 kV NAYY D.H.K.BAŞ</t>
  </si>
  <si>
    <t>2x16 mm² 0,6/1 kV NAYY D.H.K.BAŞ.MONTAJI</t>
  </si>
  <si>
    <t>4x16 mm² 0,6/1 kV NAYY D.H.K.BAŞ</t>
  </si>
  <si>
    <t>4x16 mm² 0,6/1 kV NAYY D.H.K.BAŞ.MONTAJI</t>
  </si>
  <si>
    <t>KABLO BAŞLIĞI HAR.BÜZ.YE3SV 1X95S/16MM2</t>
  </si>
  <si>
    <t>KABLO BAŞLIĞI HAR.BÜZ.YE3SV 1X150S/25MM2</t>
  </si>
  <si>
    <t>22.4.3.10</t>
  </si>
  <si>
    <t>22.4.3.10.MON</t>
  </si>
  <si>
    <t>GERİLİM TRAFO HÜCRESİ 30-36/¹3/0,1/¹3-0.</t>
  </si>
  <si>
    <t>30-36/¹3/0,1/¹3-0,22KV GTR H MONTAJI</t>
  </si>
  <si>
    <t>24.4.2.2.DM</t>
  </si>
  <si>
    <t>24.4.2.4</t>
  </si>
  <si>
    <t>24.4.2.4.MON</t>
  </si>
  <si>
    <t>31.6.3.6.DM</t>
  </si>
  <si>
    <t>31.6.3.8.DM</t>
  </si>
  <si>
    <t>31.6.3.10</t>
  </si>
  <si>
    <t>31.6.3.10.MON</t>
  </si>
  <si>
    <t>32.34.11.A.6.MON</t>
  </si>
  <si>
    <t>32.34.14.4.MON</t>
  </si>
  <si>
    <t>32.34.14.6.MON</t>
  </si>
  <si>
    <t>100 kVA HARİCİ TİP AG PANOSU DEMONTAJI</t>
  </si>
  <si>
    <t>DAĞITIM PANOSU HARİCİ TİP 250 KVA</t>
  </si>
  <si>
    <t>250 kVA HARİCİ TİP AG PANOSU MONTAJI</t>
  </si>
  <si>
    <t>100KVA, 33/0,4-0,231KV TR. DEMONTAJI</t>
  </si>
  <si>
    <t>160KVA, 33/0,4-0,231KV TR. DEMONTAJI</t>
  </si>
  <si>
    <t>HERMETİK TRAFO 33/0.4-0.231KV  250 KVA</t>
  </si>
  <si>
    <t>250KVA, 33/0,4-0,231KV TR. MONTAJI</t>
  </si>
  <si>
    <t>1x150s/25 mm² 36 KV D.BÜ.A.K.BA. MONTAJI</t>
  </si>
  <si>
    <t>1x95s/16 mm² 36 KV H.BÜ.KAB.BAŞ. MONTAJI</t>
  </si>
  <si>
    <t>1x150s/16 mm² 36 KV H.BÜ.KA.BAŞ. MONTAJI</t>
  </si>
  <si>
    <t>24.4.1.3.DM</t>
  </si>
  <si>
    <t>160 kVA DAHİLİ TİP AG PANOSU DEMONTAJI</t>
  </si>
  <si>
    <t>24.4.2.1.DM</t>
  </si>
  <si>
    <t>50 kVA HARİCİ TİP AG PANOSU DEMONTAJI</t>
  </si>
  <si>
    <t>31.6.3.3.DM</t>
  </si>
  <si>
    <t>50KVA, 33/0,4-0,231KV TR. DEMONTAJI</t>
  </si>
  <si>
    <t>31.6.3.3.DMM</t>
  </si>
  <si>
    <t>50KVA, 33/0,4-0,231KV TR. DEM.MONTAJI</t>
  </si>
  <si>
    <t>2026.46.TES.05 KAHRAMANMARAŞ İLİ ANDIRIN VE TÜRKOĞLU İLÇELERİ AG/YG HAVAİ TESİS YAPIM İŞİ</t>
  </si>
  <si>
    <t>20.5.4.15</t>
  </si>
  <si>
    <t>LED ARMATÜR (Sınıf:15)</t>
  </si>
  <si>
    <t>20.5.4.15.MON</t>
  </si>
  <si>
    <t>LED ARMATÜR (Sınıf:15)(30W) MONTAJI</t>
  </si>
  <si>
    <t>AKEDAŞ 2026 Birim Fiyat</t>
  </si>
  <si>
    <t>11.8.1.YM</t>
  </si>
  <si>
    <t>SWALLOW-3/0 TEK GERGİ TER.</t>
  </si>
  <si>
    <t>9.7.34.YM</t>
  </si>
  <si>
    <t>MAKARA İZOLATÖR (AER KABLO)</t>
  </si>
  <si>
    <t>11.6.0.9.YM</t>
  </si>
  <si>
    <t>36kV İZO. SİLİKON VHD 31mm/Kv</t>
  </si>
  <si>
    <t>11.6.0.9.MON</t>
  </si>
  <si>
    <t>36kV İZO. SİLİKON VHD 31mm/Kv MONTAJI</t>
  </si>
  <si>
    <t>Malzeme Birim Fiyat</t>
  </si>
  <si>
    <t>Malzeme Toplam</t>
  </si>
  <si>
    <t>İşçilik Birim Fiyat</t>
  </si>
  <si>
    <t>İşçilik Toplam</t>
  </si>
  <si>
    <t>Tenzilatlı Birim Fiyat</t>
  </si>
  <si>
    <t>Tenzilatlı Toplam</t>
  </si>
  <si>
    <t>Malzeme</t>
  </si>
  <si>
    <t>Montaj</t>
  </si>
  <si>
    <t>Sgk</t>
  </si>
  <si>
    <t xml:space="preserve">Genel </t>
  </si>
  <si>
    <t>TESİS+KET</t>
  </si>
  <si>
    <t>MAAŞ+SGK+VERGİ</t>
  </si>
  <si>
    <t>ADET</t>
  </si>
  <si>
    <t>MALİYET</t>
  </si>
  <si>
    <t>KOORDİNAT</t>
  </si>
  <si>
    <t>ŞANTİYE ŞEFİ</t>
  </si>
  <si>
    <t>ŞEF YARDIMCI</t>
  </si>
  <si>
    <t>İSG C UZMAN</t>
  </si>
  <si>
    <t>ÖN MUHASEBE</t>
  </si>
  <si>
    <t>DEPOCU</t>
  </si>
  <si>
    <t>ELEMAN</t>
  </si>
  <si>
    <t>AŞÇI</t>
  </si>
  <si>
    <t>BEKÇİ</t>
  </si>
  <si>
    <t>VİNÇ OPERATÖR</t>
  </si>
  <si>
    <t>VİNÇ</t>
  </si>
  <si>
    <t>ARAÇ</t>
  </si>
  <si>
    <t>DEPO</t>
  </si>
  <si>
    <t>EV</t>
  </si>
  <si>
    <t>YAKIT</t>
  </si>
  <si>
    <t>YEMEK</t>
  </si>
  <si>
    <t>DİĞER</t>
  </si>
  <si>
    <t>TOPLAM MALİYET</t>
  </si>
  <si>
    <t>iş süresi</t>
  </si>
  <si>
    <t>Toplam</t>
  </si>
  <si>
    <t>Teknik Kadro</t>
  </si>
  <si>
    <t>KAR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</si>
</sst>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164" formatCode="_(* #,##0.00_);_(* \(#,##0.00\);_(* &quot;-&quot;??_);_(@_)"/>
    <numFmt numFmtId="165" formatCode="_-* #,##0.00\ _₺_-;\-* #,##0.00\ _₺_-;_-* &quot;-&quot;??\ _₺_-;_-@_-"/>
    <numFmt numFmtId="166" formatCode="#,##0\ &quot;TL&quot;;\-#,##0\ &quot;TL&quot;"/>
    <numFmt numFmtId="167" formatCode="_-* #,##0\ &quot;TL&quot;_-;\-* #,##0\ &quot;TL&quot;_-;_-* &quot;-&quot;\ &quot;TL&quot;_-;_-@_-"/>
    <numFmt numFmtId="168" formatCode="_-* #,##0\ _T_L_-;\-* #,##0\ _T_L_-;_-* &quot;-&quot;\ _T_L_-;_-@_-"/>
    <numFmt numFmtId="169" formatCode="[$$-409]\ #,##0.00"/>
    <numFmt numFmtId="170" formatCode="_(&quot;$&quot;* #,##0.00_);_(&quot;$&quot;* \(#,##0.00\);_(&quot;$&quot;* &quot;-&quot;??_);_(@_)"/>
    <numFmt numFmtId="171" formatCode="0.0%"/>
    <numFmt numFmtId="172" formatCode="_-[$₺-41F]* #,##0.00_-;\-[$₺-41F]* #,##0.00_-;_-[$₺-41F]* &quot;-&quot;??_-;_-@_-"/>
  </numFmts>
  <fonts count="13">
    <font>
      <sz val="10"/>
      <name val="Arial"/>
    </font>
    <font>
      <sz val="11"/>
      <color theme="1"/>
      <name val="Calibri"/>
      <family val="2"/>
      <charset val="162"/>
      <scheme val="minor"/>
    </font>
    <font>
      <sz val="10"/>
      <name val="Arial"/>
      <family val="2"/>
      <charset val="162"/>
    </font>
    <font>
      <sz val="11"/>
      <color theme="1"/>
      <name val="Calibri"/>
      <family val="2"/>
      <scheme val="minor"/>
    </font>
    <font>
      <sz val="18"/>
      <name val="Arial"/>
      <family val="2"/>
      <charset val="162"/>
    </font>
    <font>
      <sz val="12"/>
      <name val="Arial"/>
      <family val="2"/>
      <charset val="162"/>
    </font>
    <font>
      <sz val="8"/>
      <color indexed="8"/>
      <name val="MS Sans Serif"/>
      <family val="2"/>
      <charset val="162"/>
    </font>
    <font>
      <sz val="11"/>
      <color indexed="8"/>
      <name val="Calibri"/>
      <family val="2"/>
      <charset val="162"/>
    </font>
    <font>
      <sz val="10"/>
      <name val="Arial Tur"/>
      <charset val="162"/>
    </font>
    <font>
      <b/>
      <sz val="10"/>
      <name val="Arial"/>
      <family val="2"/>
      <charset val="162"/>
    </font>
    <font>
      <sz val="10"/>
      <name val="Arial"/>
    </font>
    <font>
      <sz val="18"/>
      <color rgb="FFFF0000"/>
      <name val="Arial"/>
      <family val="2"/>
    </font>
    <font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FFFFCC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double">
        <color indexed="2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7">
    <xf numFmtId="0" fontId="0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" fillId="0" borderId="0"/>
    <xf numFmtId="0" fontId="1" fillId="0" borderId="0"/>
    <xf numFmtId="0" fontId="3" fillId="0" borderId="0"/>
    <xf numFmtId="0" fontId="2" fillId="0" borderId="0"/>
    <xf numFmtId="165" fontId="2" fillId="0" borderId="0" applyFont="0" applyFill="0" applyBorder="0" applyAlignment="0" applyProtection="0"/>
    <xf numFmtId="169" fontId="2" fillId="0" borderId="0"/>
    <xf numFmtId="168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3" fontId="2" fillId="0" borderId="0" applyFont="0" applyFill="0" applyBorder="0" applyAlignment="0" applyProtection="0">
      <alignment vertical="top"/>
    </xf>
    <xf numFmtId="167" fontId="2" fillId="0" borderId="0" applyFont="0" applyFill="0" applyBorder="0" applyAlignment="0" applyProtection="0"/>
    <xf numFmtId="170" fontId="2" fillId="0" borderId="0" applyFont="0" applyFill="0" applyBorder="0" applyAlignment="0" applyProtection="0"/>
    <xf numFmtId="166" fontId="2" fillId="0" borderId="0" applyFont="0" applyFill="0" applyBorder="0" applyAlignment="0" applyProtection="0">
      <alignment vertical="top"/>
    </xf>
    <xf numFmtId="0" fontId="2" fillId="0" borderId="0" applyFont="0" applyFill="0" applyBorder="0" applyAlignment="0" applyProtection="0">
      <alignment vertical="top"/>
    </xf>
    <xf numFmtId="3" fontId="2" fillId="0" borderId="0" applyFont="0" applyFill="0" applyBorder="0" applyAlignment="0" applyProtection="0">
      <alignment vertical="top"/>
    </xf>
    <xf numFmtId="2" fontId="2" fillId="0" borderId="0" applyFont="0" applyFill="0" applyBorder="0" applyAlignment="0" applyProtection="0">
      <alignment vertical="top"/>
    </xf>
    <xf numFmtId="1" fontId="2" fillId="0" borderId="0" applyFont="0" applyFill="0" applyBorder="0" applyAlignment="0" applyProtection="0">
      <alignment vertical="top"/>
    </xf>
    <xf numFmtId="0" fontId="2" fillId="0" borderId="0" applyFont="0" applyFill="0" applyBorder="0" applyAlignment="0" applyProtection="0">
      <alignment vertical="top"/>
    </xf>
    <xf numFmtId="0" fontId="2" fillId="0" borderId="0" applyNumberFormat="0" applyFont="0" applyFill="0" applyBorder="0" applyAlignment="0" applyProtection="0">
      <alignment vertical="top"/>
    </xf>
    <xf numFmtId="3" fontId="2" fillId="0" borderId="0" applyFont="0" applyFill="0" applyBorder="0" applyAlignment="0">
      <alignment vertical="top"/>
      <protection locked="0"/>
    </xf>
    <xf numFmtId="0" fontId="2" fillId="0" borderId="0" applyNumberFormat="0" applyFont="0" applyFill="0" applyBorder="0" applyAlignment="0">
      <alignment vertical="top"/>
      <protection locked="0"/>
    </xf>
    <xf numFmtId="2" fontId="2" fillId="0" borderId="0" applyFont="0" applyFill="0" applyBorder="0" applyAlignment="0" applyProtection="0">
      <alignment vertical="top"/>
    </xf>
    <xf numFmtId="0" fontId="4" fillId="0" borderId="0" applyNumberFormat="0" applyFill="0" applyBorder="0" applyAlignment="0" applyProtection="0">
      <alignment vertical="top"/>
    </xf>
    <xf numFmtId="0" fontId="5" fillId="0" borderId="0" applyNumberFormat="0" applyFill="0" applyBorder="0" applyAlignment="0" applyProtection="0">
      <alignment vertical="top"/>
    </xf>
    <xf numFmtId="0" fontId="6" fillId="0" borderId="0" pivotButton="1"/>
    <xf numFmtId="0" fontId="2" fillId="0" borderId="0"/>
    <xf numFmtId="0" fontId="7" fillId="2" borderId="2" applyNumberFormat="0" applyFont="0" applyAlignment="0" applyProtection="0"/>
    <xf numFmtId="0" fontId="2" fillId="0" borderId="3" applyNumberFormat="0" applyFont="0" applyFill="0" applyAlignment="0" applyProtection="0">
      <alignment vertical="top"/>
    </xf>
    <xf numFmtId="0" fontId="8" fillId="0" borderId="0"/>
    <xf numFmtId="165" fontId="1" fillId="0" borderId="0" applyFont="0" applyFill="0" applyBorder="0" applyAlignment="0" applyProtection="0"/>
    <xf numFmtId="0" fontId="2" fillId="0" borderId="0"/>
    <xf numFmtId="0" fontId="2" fillId="0" borderId="0"/>
    <xf numFmtId="0" fontId="1" fillId="0" borderId="0"/>
    <xf numFmtId="165" fontId="2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9" fontId="10" fillId="0" borderId="0" applyFont="0" applyFill="0" applyBorder="0" applyAlignment="0" applyProtection="0"/>
    <xf numFmtId="164" fontId="10" fillId="0" borderId="0" applyFont="0" applyFill="0" applyBorder="0" applyAlignment="0" applyProtection="0"/>
  </cellStyleXfs>
  <cellXfs count="45">
    <xf numFmtId="0" fontId="0" fillId="0" borderId="0" xfId="0" applyAlignment="1">
      <alignment vertical="top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vertical="center"/>
    </xf>
    <xf numFmtId="0" fontId="9" fillId="0" borderId="0" xfId="0" applyFont="1" applyAlignment="1">
      <alignment vertical="center"/>
    </xf>
    <xf numFmtId="4" fontId="0" fillId="0" borderId="0" xfId="11" applyNumberFormat="1" applyFont="1" applyAlignment="1">
      <alignment vertical="top"/>
    </xf>
    <xf numFmtId="0" fontId="9" fillId="0" borderId="0" xfId="0" applyFont="1" applyAlignment="1">
      <alignment vertical="center" wrapText="1"/>
    </xf>
    <xf numFmtId="0" fontId="9" fillId="0" borderId="0" xfId="0" applyFont="1" applyAlignment="1">
      <alignment horizontal="center" vertical="center" wrapText="1"/>
    </xf>
    <xf numFmtId="4" fontId="9" fillId="0" borderId="0" xfId="0" applyNumberFormat="1" applyFont="1" applyAlignment="1">
      <alignment horizontal="center" vertical="center" wrapText="1"/>
    </xf>
    <xf numFmtId="0" fontId="9" fillId="0" borderId="0" xfId="0" applyFont="1" applyAlignment="1">
      <alignment horizontal="center" vertical="center"/>
    </xf>
    <xf numFmtId="4" fontId="9" fillId="0" borderId="0" xfId="11" applyNumberFormat="1" applyFont="1" applyFill="1" applyBorder="1" applyAlignment="1">
      <alignment horizontal="center" vertical="center"/>
    </xf>
    <xf numFmtId="0" fontId="9" fillId="3" borderId="1" xfId="43" applyFont="1" applyFill="1" applyBorder="1" applyAlignment="1">
      <alignment horizontal="center" vertical="center" wrapText="1"/>
    </xf>
    <xf numFmtId="0" fontId="9" fillId="3" borderId="1" xfId="43" applyFont="1" applyFill="1" applyBorder="1" applyAlignment="1">
      <alignment horizontal="center" vertical="center" textRotation="90" wrapText="1"/>
    </xf>
    <xf numFmtId="4" fontId="9" fillId="3" borderId="1" xfId="11" applyNumberFormat="1" applyFont="1" applyFill="1" applyBorder="1" applyAlignment="1">
      <alignment horizontal="center" vertical="center" wrapText="1"/>
    </xf>
    <xf numFmtId="0" fontId="0" fillId="0" borderId="1" xfId="0" quotePrefix="1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horizontal="center" vertical="top"/>
    </xf>
    <xf numFmtId="4" fontId="0" fillId="0" borderId="1" xfId="11" applyNumberFormat="1" applyFont="1" applyBorder="1" applyAlignment="1">
      <alignment vertical="top"/>
    </xf>
    <xf numFmtId="0" fontId="2" fillId="0" borderId="1" xfId="0" applyFont="1" applyBorder="1" applyAlignment="1">
      <alignment vertical="top"/>
    </xf>
    <xf numFmtId="0" fontId="0" fillId="0" borderId="0" xfId="0" applyAlignment="1">
      <alignment horizontal="center" vertical="top"/>
    </xf>
    <xf numFmtId="0" fontId="0" fillId="0" borderId="0" xfId="0" applyAlignment="1">
      <alignment horizontal="center" vertical="center"/>
    </xf>
    <xf numFmtId="4" fontId="0" fillId="0" borderId="0" xfId="0" applyNumberFormat="1" applyAlignment="1">
      <alignment horizontal="center" vertical="top"/>
    </xf>
    <xf numFmtId="4" fontId="9" fillId="0" borderId="4" xfId="11" applyNumberFormat="1" applyFont="1" applyBorder="1" applyAlignment="1">
      <alignment vertical="top"/>
    </xf>
    <xf numFmtId="171" fontId="0" fillId="0" borderId="0" xfId="45" applyNumberFormat="1" applyFont="1" applyAlignment="1">
      <alignment vertical="top"/>
    </xf>
    <xf numFmtId="0" fontId="2" fillId="0" borderId="1" xfId="43" applyBorder="1" applyAlignment="1">
      <alignment horizontal="center" vertical="center"/>
    </xf>
    <xf numFmtId="4" fontId="2" fillId="0" borderId="1" xfId="46" applyNumberFormat="1" applyFont="1" applyFill="1" applyBorder="1" applyAlignment="1">
      <alignment vertical="top"/>
    </xf>
    <xf numFmtId="164" fontId="2" fillId="0" borderId="1" xfId="46" applyFont="1" applyBorder="1" applyAlignment="1">
      <alignment vertical="top"/>
    </xf>
    <xf numFmtId="3" fontId="0" fillId="0" borderId="1" xfId="0" applyNumberFormat="1" applyBorder="1" applyAlignment="1">
      <alignment horizontal="center" vertical="top"/>
    </xf>
    <xf numFmtId="4" fontId="2" fillId="4" borderId="1" xfId="43" applyNumberFormat="1" applyFill="1" applyBorder="1" applyAlignment="1">
      <alignment vertical="top"/>
    </xf>
    <xf numFmtId="164" fontId="2" fillId="4" borderId="1" xfId="46" applyFont="1" applyFill="1" applyBorder="1" applyAlignment="1">
      <alignment vertical="top"/>
    </xf>
    <xf numFmtId="10" fontId="0" fillId="0" borderId="0" xfId="0" applyNumberFormat="1" applyAlignment="1">
      <alignment vertical="center"/>
    </xf>
    <xf numFmtId="4" fontId="12" fillId="0" borderId="0" xfId="11" applyNumberFormat="1" applyFont="1" applyAlignment="1">
      <alignment vertical="top"/>
    </xf>
    <xf numFmtId="171" fontId="12" fillId="0" borderId="0" xfId="45" applyNumberFormat="1" applyFont="1" applyAlignment="1">
      <alignment vertical="top"/>
    </xf>
    <xf numFmtId="0" fontId="0" fillId="0" borderId="1" xfId="0" applyBorder="1"/>
    <xf numFmtId="172" fontId="0" fillId="0" borderId="1" xfId="0" applyNumberFormat="1" applyBorder="1"/>
    <xf numFmtId="2" fontId="0" fillId="0" borderId="1" xfId="0" applyNumberFormat="1" applyBorder="1"/>
    <xf numFmtId="0" fontId="12" fillId="0" borderId="0" xfId="0" applyFont="1" applyAlignment="1">
      <alignment vertical="top"/>
    </xf>
    <xf numFmtId="172" fontId="0" fillId="0" borderId="0" xfId="0" applyNumberFormat="1" applyAlignment="1">
      <alignment vertical="top"/>
    </xf>
    <xf numFmtId="10" fontId="0" fillId="0" borderId="0" xfId="11" applyNumberFormat="1" applyFont="1" applyAlignment="1">
      <alignment vertical="top"/>
    </xf>
    <xf numFmtId="0" fontId="9" fillId="3" borderId="1" xfId="0" applyFont="1" applyFill="1" applyBorder="1" applyAlignment="1">
      <alignment horizontal="center" vertical="center" wrapText="1"/>
    </xf>
    <xf numFmtId="10" fontId="11" fillId="5" borderId="5" xfId="0" applyNumberFormat="1" applyFont="1" applyFill="1" applyBorder="1" applyAlignment="1">
      <alignment horizontal="center" vertical="center"/>
    </xf>
    <xf numFmtId="10" fontId="11" fillId="5" borderId="6" xfId="0" applyNumberFormat="1" applyFont="1" applyFill="1" applyBorder="1" applyAlignment="1">
      <alignment horizontal="center" vertic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" xfId="0" applyBorder="1" applyAlignment="1">
      <alignment horizontal="center"/>
    </xf>
  </cellXfs>
  <cellStyles count="47">
    <cellStyle name="Binlik Ayracý [0]" xfId="12" xr:uid="{00000000-0005-0000-0000-000000000000}"/>
    <cellStyle name="Comma [0]" xfId="13" xr:uid="{00000000-0005-0000-0000-000001000000}"/>
    <cellStyle name="Comma_FFARKI" xfId="14" xr:uid="{00000000-0005-0000-0000-000002000000}"/>
    <cellStyle name="Comma0" xfId="15" xr:uid="{00000000-0005-0000-0000-000003000000}"/>
    <cellStyle name="Currency [0]" xfId="16" xr:uid="{00000000-0005-0000-0000-000004000000}"/>
    <cellStyle name="Currency_FFARKI" xfId="17" xr:uid="{00000000-0005-0000-0000-000005000000}"/>
    <cellStyle name="Currency0" xfId="18" xr:uid="{00000000-0005-0000-0000-000006000000}"/>
    <cellStyle name="Date" xfId="19" xr:uid="{00000000-0005-0000-0000-000007000000}"/>
    <cellStyle name="F2" xfId="20" xr:uid="{00000000-0005-0000-0000-000008000000}"/>
    <cellStyle name="F3" xfId="21" xr:uid="{00000000-0005-0000-0000-000009000000}"/>
    <cellStyle name="F4" xfId="22" xr:uid="{00000000-0005-0000-0000-00000A000000}"/>
    <cellStyle name="F5" xfId="23" xr:uid="{00000000-0005-0000-0000-00000B000000}"/>
    <cellStyle name="F6" xfId="24" xr:uid="{00000000-0005-0000-0000-00000C000000}"/>
    <cellStyle name="F7" xfId="25" xr:uid="{00000000-0005-0000-0000-00000D000000}"/>
    <cellStyle name="F8" xfId="26" xr:uid="{00000000-0005-0000-0000-00000E000000}"/>
    <cellStyle name="Fixed" xfId="27" xr:uid="{00000000-0005-0000-0000-00000F000000}"/>
    <cellStyle name="Heading 1" xfId="28" xr:uid="{00000000-0005-0000-0000-000010000000}"/>
    <cellStyle name="Heading 2" xfId="29" xr:uid="{00000000-0005-0000-0000-000011000000}"/>
    <cellStyle name="Normal" xfId="0" builtinId="0"/>
    <cellStyle name="Normal 10" xfId="38" xr:uid="{00000000-0005-0000-0000-000013000000}"/>
    <cellStyle name="Normal 10 2" xfId="43" xr:uid="{00000000-0005-0000-0000-000014000000}"/>
    <cellStyle name="Normal 11" xfId="7" xr:uid="{00000000-0005-0000-0000-000015000000}"/>
    <cellStyle name="Normal 11 2" xfId="42" xr:uid="{00000000-0005-0000-0000-000016000000}"/>
    <cellStyle name="Normal 18" xfId="44" xr:uid="{00000000-0005-0000-0000-000017000000}"/>
    <cellStyle name="Normal 2" xfId="2" xr:uid="{00000000-0005-0000-0000-000018000000}"/>
    <cellStyle name="Normal 2 2" xfId="34" xr:uid="{00000000-0005-0000-0000-000019000000}"/>
    <cellStyle name="Normal 3" xfId="3" xr:uid="{00000000-0005-0000-0000-00001A000000}"/>
    <cellStyle name="Normal 4" xfId="1" xr:uid="{00000000-0005-0000-0000-00001B000000}"/>
    <cellStyle name="Normal 4 2" xfId="9" xr:uid="{00000000-0005-0000-0000-00001C000000}"/>
    <cellStyle name="Normal 5" xfId="30" xr:uid="{00000000-0005-0000-0000-00001D000000}"/>
    <cellStyle name="Normal 6" xfId="31" xr:uid="{00000000-0005-0000-0000-00001E000000}"/>
    <cellStyle name="Normal 6 2" xfId="10" xr:uid="{00000000-0005-0000-0000-00001F000000}"/>
    <cellStyle name="Normal 7" xfId="4" xr:uid="{00000000-0005-0000-0000-000020000000}"/>
    <cellStyle name="Normal 7 2" xfId="5" xr:uid="{00000000-0005-0000-0000-000021000000}"/>
    <cellStyle name="Normal 8" xfId="6" xr:uid="{00000000-0005-0000-0000-000022000000}"/>
    <cellStyle name="Normal 8 2" xfId="36" xr:uid="{00000000-0005-0000-0000-000023000000}"/>
    <cellStyle name="Normal 8 3" xfId="37" xr:uid="{00000000-0005-0000-0000-000024000000}"/>
    <cellStyle name="Normal 8 3 2" xfId="41" xr:uid="{00000000-0005-0000-0000-000025000000}"/>
    <cellStyle name="Normal 9" xfId="8" xr:uid="{00000000-0005-0000-0000-000026000000}"/>
    <cellStyle name="Not 2" xfId="32" xr:uid="{00000000-0005-0000-0000-000027000000}"/>
    <cellStyle name="Total" xfId="33" xr:uid="{00000000-0005-0000-0000-000028000000}"/>
    <cellStyle name="Virgül" xfId="46" builtinId="3"/>
    <cellStyle name="Virgül 2" xfId="11" xr:uid="{00000000-0005-0000-0000-00002A000000}"/>
    <cellStyle name="Virgül 2 2" xfId="39" xr:uid="{00000000-0005-0000-0000-00002B000000}"/>
    <cellStyle name="Virgül 3" xfId="35" xr:uid="{00000000-0005-0000-0000-00002C000000}"/>
    <cellStyle name="Virgül 4" xfId="40" xr:uid="{00000000-0005-0000-0000-00002D000000}"/>
    <cellStyle name="Yüzde" xfId="45" builtinId="5"/>
  </cellStyles>
  <dxfs count="1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N152"/>
  <sheetViews>
    <sheetView tabSelected="1" view="pageBreakPreview" zoomScale="85" zoomScaleNormal="100" zoomScaleSheetLayoutView="85" workbookViewId="0">
      <pane xSplit="1" ySplit="2" topLeftCell="B61" activePane="bottomRight" state="frozen"/>
      <selection pane="bottomLeft" activeCell="A2" sqref="A2"/>
      <selection pane="topRight" activeCell="B1" sqref="B1"/>
      <selection pane="bottomRight" activeCell="H1" sqref="H1:M1"/>
    </sheetView>
  </sheetViews>
  <sheetFormatPr defaultColWidth="8.8984375" defaultRowHeight="12.75"/>
  <cols>
    <col min="1" max="1" width="16.85546875" customWidth="1"/>
    <col min="2" max="2" width="45.578125" bestFit="1" customWidth="1"/>
    <col min="3" max="3" width="4.98828125" style="18" customWidth="1"/>
    <col min="4" max="4" width="5.390625" style="19" customWidth="1"/>
    <col min="5" max="5" width="10.515625" style="20" customWidth="1"/>
    <col min="6" max="6" width="11.32421875" style="4" customWidth="1"/>
    <col min="7" max="7" width="16.1796875" style="4" customWidth="1"/>
    <col min="8" max="8" width="11.32421875" style="4" customWidth="1"/>
    <col min="9" max="9" width="13.75390625" style="4" customWidth="1"/>
    <col min="10" max="10" width="13.75390625" style="4" bestFit="1" customWidth="1"/>
    <col min="11" max="11" width="13.75390625" style="4" customWidth="1"/>
    <col min="12" max="12" width="11.32421875" style="4" customWidth="1"/>
    <col min="13" max="13" width="13.75390625" style="4" customWidth="1"/>
    <col min="14" max="14" width="10.921875" style="29" hidden="1" customWidth="1"/>
    <col min="15" max="16384" width="8.8984375" style="2"/>
  </cols>
  <sheetData>
    <row r="1" spans="1:14" ht="41.25" customHeight="1">
      <c r="A1" s="38" t="s">
        <v>274</v>
      </c>
      <c r="B1" s="38"/>
      <c r="C1" s="38"/>
      <c r="D1" s="38"/>
      <c r="E1" s="38"/>
      <c r="F1" s="38"/>
      <c r="G1" s="38"/>
      <c r="H1" s="39">
        <v>0.1</v>
      </c>
      <c r="I1" s="40"/>
      <c r="J1" s="40"/>
      <c r="K1" s="40"/>
      <c r="L1" s="40"/>
      <c r="M1" s="40"/>
    </row>
    <row r="2" spans="1:14" ht="46.5">
      <c r="A2" s="10" t="s">
        <v>22</v>
      </c>
      <c r="B2" s="10" t="s">
        <v>23</v>
      </c>
      <c r="C2" s="11" t="s">
        <v>24</v>
      </c>
      <c r="D2" s="11" t="s">
        <v>50</v>
      </c>
      <c r="E2" s="12" t="s">
        <v>25</v>
      </c>
      <c r="F2" s="12" t="s">
        <v>279</v>
      </c>
      <c r="G2" s="12" t="s">
        <v>51</v>
      </c>
      <c r="H2" s="12" t="s">
        <v>288</v>
      </c>
      <c r="I2" s="12" t="s">
        <v>289</v>
      </c>
      <c r="J2" s="12" t="s">
        <v>290</v>
      </c>
      <c r="K2" s="12" t="s">
        <v>291</v>
      </c>
      <c r="L2" s="12" t="s">
        <v>292</v>
      </c>
      <c r="M2" s="12" t="s">
        <v>293</v>
      </c>
    </row>
    <row r="3" spans="1:14" ht="12.75" customHeight="1">
      <c r="A3" s="13" t="s">
        <v>54</v>
      </c>
      <c r="B3" s="14" t="s">
        <v>60</v>
      </c>
      <c r="C3" s="15" t="s">
        <v>0</v>
      </c>
      <c r="D3" s="1" t="s">
        <v>3</v>
      </c>
      <c r="E3" s="26">
        <v>426</v>
      </c>
      <c r="F3" s="24">
        <v>418.01</v>
      </c>
      <c r="G3" s="16">
        <f t="shared" ref="G3:G13" si="0">F3*E3</f>
        <v>178072.26</v>
      </c>
      <c r="H3" s="24">
        <v>750</v>
      </c>
      <c r="I3" s="16">
        <f>+H3*E3</f>
        <v>319500</v>
      </c>
      <c r="J3" s="28"/>
      <c r="K3" s="28"/>
      <c r="L3" s="24">
        <f>+F3-(F3*N3)</f>
        <v>376.209</v>
      </c>
      <c r="M3" s="16">
        <f>+L3*E3</f>
        <v>160265.03400000001</v>
      </c>
      <c r="N3" s="29">
        <f>+H1</f>
        <v>0.1</v>
      </c>
    </row>
    <row r="4" spans="1:14" ht="12.75" customHeight="1">
      <c r="A4" s="13" t="s">
        <v>55</v>
      </c>
      <c r="B4" s="14" t="s">
        <v>61</v>
      </c>
      <c r="C4" s="15" t="s">
        <v>0</v>
      </c>
      <c r="D4" s="1" t="s">
        <v>3</v>
      </c>
      <c r="E4" s="26">
        <v>426</v>
      </c>
      <c r="F4" s="24">
        <v>313.62</v>
      </c>
      <c r="G4" s="16">
        <f t="shared" si="0"/>
        <v>133602.12</v>
      </c>
      <c r="H4" s="28"/>
      <c r="I4" s="28"/>
      <c r="J4" s="24">
        <v>75</v>
      </c>
      <c r="K4" s="24">
        <f t="shared" ref="K4:K66" si="1">+J4*E4</f>
        <v>31950</v>
      </c>
      <c r="L4" s="24">
        <f t="shared" ref="L4:L66" si="2">+F4-(F4*N4)</f>
        <v>282.25799999999998</v>
      </c>
      <c r="M4" s="16">
        <f t="shared" ref="M4:M66" si="3">+L4*E4</f>
        <v>120241.908</v>
      </c>
      <c r="N4" s="29">
        <f>+N3</f>
        <v>0.1</v>
      </c>
    </row>
    <row r="5" spans="1:14" ht="12.75" customHeight="1">
      <c r="A5" s="13" t="s">
        <v>12</v>
      </c>
      <c r="B5" s="14" t="s">
        <v>13</v>
      </c>
      <c r="C5" s="15" t="s">
        <v>0</v>
      </c>
      <c r="D5" s="1" t="s">
        <v>3</v>
      </c>
      <c r="E5" s="26">
        <v>77390</v>
      </c>
      <c r="F5" s="24">
        <v>26.17</v>
      </c>
      <c r="G5" s="16">
        <f t="shared" si="0"/>
        <v>2025296.3</v>
      </c>
      <c r="H5" s="28"/>
      <c r="I5" s="28"/>
      <c r="J5" s="24">
        <v>20</v>
      </c>
      <c r="K5" s="24">
        <f t="shared" si="1"/>
        <v>1547800</v>
      </c>
      <c r="L5" s="24">
        <f t="shared" si="2"/>
        <v>23.553000000000001</v>
      </c>
      <c r="M5" s="16">
        <f t="shared" si="3"/>
        <v>1822766.6700000002</v>
      </c>
      <c r="N5" s="29">
        <f>+N4</f>
        <v>0.1</v>
      </c>
    </row>
    <row r="6" spans="1:14" ht="12.75" customHeight="1">
      <c r="A6" s="14" t="s">
        <v>88</v>
      </c>
      <c r="B6" s="14" t="s">
        <v>102</v>
      </c>
      <c r="C6" s="23" t="s">
        <v>0</v>
      </c>
      <c r="D6" s="1" t="s">
        <v>3</v>
      </c>
      <c r="E6" s="26">
        <v>806205</v>
      </c>
      <c r="F6" s="24">
        <v>62.5</v>
      </c>
      <c r="G6" s="25">
        <f t="shared" si="0"/>
        <v>50387812.5</v>
      </c>
      <c r="H6" s="24">
        <v>55</v>
      </c>
      <c r="I6" s="16">
        <f t="shared" ref="I6:I61" si="4">+H6*E6</f>
        <v>44341275</v>
      </c>
      <c r="J6" s="28"/>
      <c r="K6" s="28"/>
      <c r="L6" s="24">
        <f t="shared" si="2"/>
        <v>56.25</v>
      </c>
      <c r="M6" s="16">
        <f t="shared" si="3"/>
        <v>45349031.25</v>
      </c>
      <c r="N6" s="29">
        <f>+N5</f>
        <v>0.1</v>
      </c>
    </row>
    <row r="7" spans="1:14" ht="12.75" customHeight="1">
      <c r="A7" s="14" t="s">
        <v>89</v>
      </c>
      <c r="B7" s="14" t="s">
        <v>103</v>
      </c>
      <c r="C7" s="15" t="s">
        <v>0</v>
      </c>
      <c r="D7" s="1" t="s">
        <v>3</v>
      </c>
      <c r="E7" s="26">
        <v>806205</v>
      </c>
      <c r="F7" s="24">
        <v>80.5</v>
      </c>
      <c r="G7" s="16">
        <f t="shared" si="0"/>
        <v>64899502.5</v>
      </c>
      <c r="H7" s="28"/>
      <c r="I7" s="28"/>
      <c r="J7" s="24">
        <v>50</v>
      </c>
      <c r="K7" s="24">
        <f t="shared" si="1"/>
        <v>40310250</v>
      </c>
      <c r="L7" s="24">
        <f t="shared" si="2"/>
        <v>72.45</v>
      </c>
      <c r="M7" s="16">
        <f t="shared" si="3"/>
        <v>58409552.25</v>
      </c>
      <c r="N7" s="29">
        <f t="shared" ref="N7:N70" si="5">+N6</f>
        <v>0.1</v>
      </c>
    </row>
    <row r="8" spans="1:14" ht="12.75" customHeight="1">
      <c r="A8" s="14" t="s">
        <v>120</v>
      </c>
      <c r="B8" s="14" t="s">
        <v>181</v>
      </c>
      <c r="C8" s="15" t="s">
        <v>0</v>
      </c>
      <c r="D8" s="1" t="s">
        <v>3</v>
      </c>
      <c r="E8" s="26">
        <v>888</v>
      </c>
      <c r="F8" s="24">
        <v>26.36</v>
      </c>
      <c r="G8" s="16">
        <f t="shared" si="0"/>
        <v>23407.68</v>
      </c>
      <c r="H8" s="28"/>
      <c r="I8" s="28"/>
      <c r="J8" s="24">
        <v>20</v>
      </c>
      <c r="K8" s="24">
        <f t="shared" si="1"/>
        <v>17760</v>
      </c>
      <c r="L8" s="24">
        <f t="shared" si="2"/>
        <v>23.724</v>
      </c>
      <c r="M8" s="16">
        <f t="shared" si="3"/>
        <v>21066.912</v>
      </c>
      <c r="N8" s="29">
        <f t="shared" si="5"/>
        <v>0.1</v>
      </c>
    </row>
    <row r="9" spans="1:14" ht="12.75" customHeight="1">
      <c r="A9" s="14" t="s">
        <v>121</v>
      </c>
      <c r="B9" s="14" t="s">
        <v>182</v>
      </c>
      <c r="C9" s="15" t="s">
        <v>0</v>
      </c>
      <c r="D9" s="1" t="s">
        <v>3</v>
      </c>
      <c r="E9" s="26">
        <v>888</v>
      </c>
      <c r="F9" s="24">
        <v>64.400000000000006</v>
      </c>
      <c r="G9" s="16">
        <f t="shared" si="0"/>
        <v>57187.200000000004</v>
      </c>
      <c r="H9" s="28"/>
      <c r="I9" s="28"/>
      <c r="J9" s="24">
        <v>50</v>
      </c>
      <c r="K9" s="24">
        <f t="shared" si="1"/>
        <v>44400</v>
      </c>
      <c r="L9" s="24">
        <f t="shared" si="2"/>
        <v>57.960000000000008</v>
      </c>
      <c r="M9" s="16">
        <f t="shared" si="3"/>
        <v>51468.48000000001</v>
      </c>
      <c r="N9" s="29">
        <f t="shared" si="5"/>
        <v>0.1</v>
      </c>
    </row>
    <row r="10" spans="1:14" ht="12.75" customHeight="1">
      <c r="A10" s="14" t="s">
        <v>122</v>
      </c>
      <c r="B10" s="14" t="s">
        <v>183</v>
      </c>
      <c r="C10" s="15" t="s">
        <v>0</v>
      </c>
      <c r="D10" s="1" t="s">
        <v>3</v>
      </c>
      <c r="E10" s="26">
        <v>303808</v>
      </c>
      <c r="F10" s="24">
        <v>65.5</v>
      </c>
      <c r="G10" s="16">
        <f t="shared" si="0"/>
        <v>19899424</v>
      </c>
      <c r="H10" s="24">
        <v>57</v>
      </c>
      <c r="I10" s="16">
        <f t="shared" si="4"/>
        <v>17317056</v>
      </c>
      <c r="J10" s="28"/>
      <c r="K10" s="28"/>
      <c r="L10" s="24">
        <f t="shared" si="2"/>
        <v>58.95</v>
      </c>
      <c r="M10" s="16">
        <f t="shared" si="3"/>
        <v>17909481.600000001</v>
      </c>
      <c r="N10" s="29">
        <f t="shared" si="5"/>
        <v>0.1</v>
      </c>
    </row>
    <row r="11" spans="1:14" ht="12.75" customHeight="1">
      <c r="A11" s="14" t="s">
        <v>123</v>
      </c>
      <c r="B11" s="14" t="s">
        <v>184</v>
      </c>
      <c r="C11" s="15" t="s">
        <v>0</v>
      </c>
      <c r="D11" s="1" t="s">
        <v>3</v>
      </c>
      <c r="E11" s="26">
        <v>303808</v>
      </c>
      <c r="F11" s="24">
        <v>83</v>
      </c>
      <c r="G11" s="16">
        <f t="shared" si="0"/>
        <v>25216064</v>
      </c>
      <c r="H11" s="28"/>
      <c r="I11" s="28"/>
      <c r="J11" s="24">
        <v>55</v>
      </c>
      <c r="K11" s="24">
        <f t="shared" si="1"/>
        <v>16709440</v>
      </c>
      <c r="L11" s="24">
        <f t="shared" si="2"/>
        <v>74.7</v>
      </c>
      <c r="M11" s="16">
        <f t="shared" si="3"/>
        <v>22694457.600000001</v>
      </c>
      <c r="N11" s="29">
        <f t="shared" si="5"/>
        <v>0.1</v>
      </c>
    </row>
    <row r="12" spans="1:14" ht="12.75" customHeight="1">
      <c r="A12" s="14" t="s">
        <v>124</v>
      </c>
      <c r="B12" s="14" t="s">
        <v>185</v>
      </c>
      <c r="C12" s="15" t="s">
        <v>0</v>
      </c>
      <c r="D12" s="1" t="s">
        <v>4</v>
      </c>
      <c r="E12" s="26">
        <v>1037</v>
      </c>
      <c r="F12" s="24">
        <v>793.75</v>
      </c>
      <c r="G12" s="16">
        <f t="shared" si="0"/>
        <v>823118.75</v>
      </c>
      <c r="H12" s="28"/>
      <c r="I12" s="28"/>
      <c r="J12" s="24">
        <v>500</v>
      </c>
      <c r="K12" s="24">
        <f t="shared" si="1"/>
        <v>518500</v>
      </c>
      <c r="L12" s="24">
        <f t="shared" si="2"/>
        <v>714.375</v>
      </c>
      <c r="M12" s="16">
        <f t="shared" si="3"/>
        <v>740806.875</v>
      </c>
      <c r="N12" s="29">
        <f t="shared" si="5"/>
        <v>0.1</v>
      </c>
    </row>
    <row r="13" spans="1:14" ht="12.75" customHeight="1">
      <c r="A13" s="14" t="s">
        <v>125</v>
      </c>
      <c r="B13" s="14" t="s">
        <v>186</v>
      </c>
      <c r="C13" s="15" t="s">
        <v>0</v>
      </c>
      <c r="D13" s="1" t="s">
        <v>4</v>
      </c>
      <c r="E13" s="26">
        <v>9</v>
      </c>
      <c r="F13" s="24">
        <v>2789.54</v>
      </c>
      <c r="G13" s="16">
        <f t="shared" si="0"/>
        <v>25105.86</v>
      </c>
      <c r="H13" s="28"/>
      <c r="I13" s="28"/>
      <c r="J13" s="24">
        <v>1500</v>
      </c>
      <c r="K13" s="24">
        <f t="shared" si="1"/>
        <v>13500</v>
      </c>
      <c r="L13" s="24">
        <f t="shared" si="2"/>
        <v>2510.5859999999998</v>
      </c>
      <c r="M13" s="16">
        <f t="shared" si="3"/>
        <v>22595.273999999998</v>
      </c>
      <c r="N13" s="29">
        <f t="shared" si="5"/>
        <v>0.1</v>
      </c>
    </row>
    <row r="14" spans="1:14" ht="12.75" customHeight="1">
      <c r="A14" s="14" t="s">
        <v>126</v>
      </c>
      <c r="B14" s="14" t="s">
        <v>187</v>
      </c>
      <c r="C14" s="15" t="s">
        <v>26</v>
      </c>
      <c r="D14" s="1" t="s">
        <v>4</v>
      </c>
      <c r="E14" s="26">
        <v>112</v>
      </c>
      <c r="F14" s="27"/>
      <c r="G14" s="28"/>
      <c r="H14" s="28"/>
      <c r="I14" s="28"/>
      <c r="J14" s="28"/>
      <c r="K14" s="28"/>
      <c r="L14" s="28"/>
      <c r="M14" s="28"/>
      <c r="N14" s="29">
        <f t="shared" si="5"/>
        <v>0.1</v>
      </c>
    </row>
    <row r="15" spans="1:14" ht="12.75" customHeight="1">
      <c r="A15" s="14" t="s">
        <v>127</v>
      </c>
      <c r="B15" s="14" t="s">
        <v>188</v>
      </c>
      <c r="C15" s="15" t="s">
        <v>0</v>
      </c>
      <c r="D15" s="1" t="s">
        <v>4</v>
      </c>
      <c r="E15" s="26">
        <v>112</v>
      </c>
      <c r="F15" s="24">
        <v>3486.9</v>
      </c>
      <c r="G15" s="16">
        <f>F15*E15</f>
        <v>390532.8</v>
      </c>
      <c r="H15" s="28"/>
      <c r="I15" s="28"/>
      <c r="J15" s="24">
        <v>1500</v>
      </c>
      <c r="K15" s="24">
        <f t="shared" si="1"/>
        <v>168000</v>
      </c>
      <c r="L15" s="24">
        <f t="shared" si="2"/>
        <v>3138.21</v>
      </c>
      <c r="M15" s="16">
        <f t="shared" si="3"/>
        <v>351479.52</v>
      </c>
      <c r="N15" s="29">
        <f t="shared" si="5"/>
        <v>0.1</v>
      </c>
    </row>
    <row r="16" spans="1:14" ht="12.75" customHeight="1">
      <c r="A16" s="14" t="s">
        <v>128</v>
      </c>
      <c r="B16" s="14" t="s">
        <v>189</v>
      </c>
      <c r="C16" s="15" t="s">
        <v>26</v>
      </c>
      <c r="D16" s="1" t="s">
        <v>4</v>
      </c>
      <c r="E16" s="26">
        <v>6</v>
      </c>
      <c r="F16" s="27"/>
      <c r="G16" s="28"/>
      <c r="H16" s="28"/>
      <c r="I16" s="28"/>
      <c r="J16" s="28"/>
      <c r="K16" s="28"/>
      <c r="L16" s="28"/>
      <c r="M16" s="28"/>
      <c r="N16" s="29">
        <f t="shared" si="5"/>
        <v>0.1</v>
      </c>
    </row>
    <row r="17" spans="1:14">
      <c r="A17" s="14" t="s">
        <v>129</v>
      </c>
      <c r="B17" s="14" t="s">
        <v>190</v>
      </c>
      <c r="C17" s="15" t="s">
        <v>0</v>
      </c>
      <c r="D17" s="1" t="s">
        <v>4</v>
      </c>
      <c r="E17" s="26">
        <v>6</v>
      </c>
      <c r="F17" s="24">
        <v>3598.76</v>
      </c>
      <c r="G17" s="16">
        <f t="shared" ref="G17:G23" si="6">F17*E17</f>
        <v>21592.560000000001</v>
      </c>
      <c r="H17" s="28"/>
      <c r="I17" s="28"/>
      <c r="J17" s="24">
        <v>2000</v>
      </c>
      <c r="K17" s="24">
        <f t="shared" si="1"/>
        <v>12000</v>
      </c>
      <c r="L17" s="24">
        <f t="shared" si="2"/>
        <v>3238.884</v>
      </c>
      <c r="M17" s="16">
        <f t="shared" si="3"/>
        <v>19433.304</v>
      </c>
      <c r="N17" s="29">
        <f t="shared" si="5"/>
        <v>0.1</v>
      </c>
    </row>
    <row r="18" spans="1:14">
      <c r="A18" s="14" t="s">
        <v>130</v>
      </c>
      <c r="B18" s="14" t="s">
        <v>191</v>
      </c>
      <c r="C18" s="15" t="s">
        <v>0</v>
      </c>
      <c r="D18" s="1" t="s">
        <v>4</v>
      </c>
      <c r="E18" s="26">
        <v>354</v>
      </c>
      <c r="F18" s="24">
        <v>846.67</v>
      </c>
      <c r="G18" s="16">
        <f t="shared" si="6"/>
        <v>299721.18</v>
      </c>
      <c r="H18" s="28"/>
      <c r="I18" s="28"/>
      <c r="J18" s="24">
        <v>500</v>
      </c>
      <c r="K18" s="24">
        <f t="shared" si="1"/>
        <v>177000</v>
      </c>
      <c r="L18" s="24">
        <f t="shared" si="2"/>
        <v>762.00299999999993</v>
      </c>
      <c r="M18" s="16">
        <f t="shared" si="3"/>
        <v>269749.06199999998</v>
      </c>
      <c r="N18" s="29">
        <f t="shared" si="5"/>
        <v>0.1</v>
      </c>
    </row>
    <row r="19" spans="1:14">
      <c r="A19" s="14" t="s">
        <v>131</v>
      </c>
      <c r="B19" s="14" t="s">
        <v>192</v>
      </c>
      <c r="C19" s="15" t="s">
        <v>0</v>
      </c>
      <c r="D19" s="1" t="s">
        <v>4</v>
      </c>
      <c r="E19" s="26">
        <v>333</v>
      </c>
      <c r="F19" s="24">
        <v>0</v>
      </c>
      <c r="G19" s="16">
        <f t="shared" si="6"/>
        <v>0</v>
      </c>
      <c r="H19" s="24">
        <v>750</v>
      </c>
      <c r="I19" s="16">
        <f t="shared" si="4"/>
        <v>249750</v>
      </c>
      <c r="J19" s="28"/>
      <c r="K19" s="28"/>
      <c r="L19" s="24">
        <f t="shared" si="2"/>
        <v>0</v>
      </c>
      <c r="M19" s="16">
        <f t="shared" si="3"/>
        <v>0</v>
      </c>
      <c r="N19" s="29">
        <f t="shared" si="5"/>
        <v>0.1</v>
      </c>
    </row>
    <row r="20" spans="1:14">
      <c r="A20" s="14" t="s">
        <v>132</v>
      </c>
      <c r="B20" s="14" t="s">
        <v>193</v>
      </c>
      <c r="C20" s="15" t="s">
        <v>0</v>
      </c>
      <c r="D20" s="1" t="s">
        <v>4</v>
      </c>
      <c r="E20" s="26">
        <v>333</v>
      </c>
      <c r="F20" s="24">
        <v>0</v>
      </c>
      <c r="G20" s="16">
        <f t="shared" si="6"/>
        <v>0</v>
      </c>
      <c r="H20" s="28"/>
      <c r="I20" s="28"/>
      <c r="J20" s="28"/>
      <c r="K20" s="28"/>
      <c r="L20" s="24">
        <f t="shared" si="2"/>
        <v>0</v>
      </c>
      <c r="M20" s="16">
        <f t="shared" si="3"/>
        <v>0</v>
      </c>
      <c r="N20" s="29">
        <f t="shared" si="5"/>
        <v>0.1</v>
      </c>
    </row>
    <row r="21" spans="1:14">
      <c r="A21" s="14" t="s">
        <v>17</v>
      </c>
      <c r="B21" s="14" t="s">
        <v>18</v>
      </c>
      <c r="C21" s="15" t="s">
        <v>0</v>
      </c>
      <c r="D21" s="1" t="s">
        <v>3</v>
      </c>
      <c r="E21" s="26">
        <v>320</v>
      </c>
      <c r="F21" s="24">
        <v>89.68</v>
      </c>
      <c r="G21" s="16">
        <f t="shared" si="6"/>
        <v>28697.600000000002</v>
      </c>
      <c r="H21" s="24">
        <v>90</v>
      </c>
      <c r="I21" s="16">
        <f t="shared" si="4"/>
        <v>28800</v>
      </c>
      <c r="J21" s="28"/>
      <c r="K21" s="28"/>
      <c r="L21" s="24">
        <f t="shared" si="2"/>
        <v>80.712000000000003</v>
      </c>
      <c r="M21" s="16">
        <f t="shared" si="3"/>
        <v>25827.84</v>
      </c>
      <c r="N21" s="29">
        <f t="shared" si="5"/>
        <v>0.1</v>
      </c>
    </row>
    <row r="22" spans="1:14">
      <c r="A22" s="14" t="s">
        <v>15</v>
      </c>
      <c r="B22" s="14" t="s">
        <v>16</v>
      </c>
      <c r="C22" s="15" t="s">
        <v>0</v>
      </c>
      <c r="D22" s="1" t="s">
        <v>3</v>
      </c>
      <c r="E22" s="26">
        <v>320</v>
      </c>
      <c r="F22" s="24">
        <v>21.78</v>
      </c>
      <c r="G22" s="16">
        <f t="shared" si="6"/>
        <v>6969.6</v>
      </c>
      <c r="H22" s="28"/>
      <c r="I22" s="28"/>
      <c r="J22" s="24">
        <v>15</v>
      </c>
      <c r="K22" s="24">
        <f t="shared" si="1"/>
        <v>4800</v>
      </c>
      <c r="L22" s="24">
        <f t="shared" si="2"/>
        <v>19.602</v>
      </c>
      <c r="M22" s="16">
        <f t="shared" si="3"/>
        <v>6272.64</v>
      </c>
      <c r="N22" s="29">
        <f t="shared" si="5"/>
        <v>0.1</v>
      </c>
    </row>
    <row r="23" spans="1:14">
      <c r="A23" s="14" t="s">
        <v>19</v>
      </c>
      <c r="B23" s="14" t="s">
        <v>20</v>
      </c>
      <c r="C23" s="15" t="s">
        <v>0</v>
      </c>
      <c r="D23" s="1" t="s">
        <v>3</v>
      </c>
      <c r="E23" s="26">
        <v>7048</v>
      </c>
      <c r="F23" s="24">
        <v>53.4</v>
      </c>
      <c r="G23" s="16">
        <f t="shared" si="6"/>
        <v>376363.2</v>
      </c>
      <c r="H23" s="28"/>
      <c r="I23" s="28"/>
      <c r="J23" s="24">
        <v>20</v>
      </c>
      <c r="K23" s="24">
        <f t="shared" si="1"/>
        <v>140960</v>
      </c>
      <c r="L23" s="24">
        <f t="shared" si="2"/>
        <v>48.06</v>
      </c>
      <c r="M23" s="16">
        <f t="shared" si="3"/>
        <v>338726.88</v>
      </c>
      <c r="N23" s="29">
        <f t="shared" si="5"/>
        <v>0.1</v>
      </c>
    </row>
    <row r="24" spans="1:14">
      <c r="A24" s="14" t="s">
        <v>133</v>
      </c>
      <c r="B24" s="14" t="s">
        <v>194</v>
      </c>
      <c r="C24" s="15" t="s">
        <v>26</v>
      </c>
      <c r="D24" s="1" t="s">
        <v>3</v>
      </c>
      <c r="E24" s="26">
        <v>10474</v>
      </c>
      <c r="F24" s="27"/>
      <c r="G24" s="28"/>
      <c r="H24" s="28"/>
      <c r="I24" s="28"/>
      <c r="J24" s="28"/>
      <c r="K24" s="28"/>
      <c r="L24" s="28"/>
      <c r="M24" s="28"/>
      <c r="N24" s="29">
        <f t="shared" si="5"/>
        <v>0.1</v>
      </c>
    </row>
    <row r="25" spans="1:14">
      <c r="A25" s="14" t="s">
        <v>134</v>
      </c>
      <c r="B25" s="14" t="s">
        <v>195</v>
      </c>
      <c r="C25" s="15" t="s">
        <v>0</v>
      </c>
      <c r="D25" s="1" t="s">
        <v>3</v>
      </c>
      <c r="E25" s="26">
        <v>10474</v>
      </c>
      <c r="F25" s="24">
        <v>68.78</v>
      </c>
      <c r="G25" s="16">
        <f>F25*E25</f>
        <v>720401.72</v>
      </c>
      <c r="H25" s="28"/>
      <c r="I25" s="28"/>
      <c r="J25" s="24">
        <v>40</v>
      </c>
      <c r="K25" s="24">
        <f t="shared" si="1"/>
        <v>418960</v>
      </c>
      <c r="L25" s="24">
        <f t="shared" si="2"/>
        <v>61.902000000000001</v>
      </c>
      <c r="M25" s="16">
        <f t="shared" si="3"/>
        <v>648361.54800000007</v>
      </c>
      <c r="N25" s="29">
        <f t="shared" si="5"/>
        <v>0.1</v>
      </c>
    </row>
    <row r="26" spans="1:14">
      <c r="A26" s="14" t="s">
        <v>33</v>
      </c>
      <c r="B26" s="14" t="s">
        <v>34</v>
      </c>
      <c r="C26" s="15" t="s">
        <v>0</v>
      </c>
      <c r="D26" s="1" t="s">
        <v>3</v>
      </c>
      <c r="E26" s="26">
        <v>6337</v>
      </c>
      <c r="F26" s="24">
        <v>53.4</v>
      </c>
      <c r="G26" s="16">
        <f>F26*E26</f>
        <v>338395.8</v>
      </c>
      <c r="H26" s="28"/>
      <c r="I26" s="28"/>
      <c r="J26" s="24">
        <v>20</v>
      </c>
      <c r="K26" s="24">
        <f t="shared" si="1"/>
        <v>126740</v>
      </c>
      <c r="L26" s="24">
        <f t="shared" si="2"/>
        <v>48.06</v>
      </c>
      <c r="M26" s="16">
        <f t="shared" si="3"/>
        <v>304556.22000000003</v>
      </c>
      <c r="N26" s="29">
        <f t="shared" si="5"/>
        <v>0.1</v>
      </c>
    </row>
    <row r="27" spans="1:14" ht="12.75" customHeight="1">
      <c r="A27" s="14" t="s">
        <v>90</v>
      </c>
      <c r="B27" s="14" t="s">
        <v>104</v>
      </c>
      <c r="C27" s="15" t="s">
        <v>26</v>
      </c>
      <c r="D27" s="1" t="s">
        <v>3</v>
      </c>
      <c r="E27" s="26">
        <v>33815</v>
      </c>
      <c r="F27" s="27"/>
      <c r="G27" s="28"/>
      <c r="H27" s="28"/>
      <c r="I27" s="28"/>
      <c r="J27" s="28"/>
      <c r="K27" s="28"/>
      <c r="L27" s="28"/>
      <c r="M27" s="28"/>
      <c r="N27" s="29">
        <f t="shared" si="5"/>
        <v>0.1</v>
      </c>
    </row>
    <row r="28" spans="1:14" ht="12.75" customHeight="1">
      <c r="A28" s="14" t="s">
        <v>91</v>
      </c>
      <c r="B28" s="14" t="s">
        <v>105</v>
      </c>
      <c r="C28" s="15" t="s">
        <v>0</v>
      </c>
      <c r="D28" s="1" t="s">
        <v>3</v>
      </c>
      <c r="E28" s="26">
        <v>33815</v>
      </c>
      <c r="F28" s="24">
        <v>84.06</v>
      </c>
      <c r="G28" s="16">
        <f>F28*E28</f>
        <v>2842488.9</v>
      </c>
      <c r="H28" s="28"/>
      <c r="I28" s="28"/>
      <c r="J28" s="24">
        <v>40</v>
      </c>
      <c r="K28" s="24">
        <f t="shared" si="1"/>
        <v>1352600</v>
      </c>
      <c r="L28" s="24">
        <f t="shared" si="2"/>
        <v>75.653999999999996</v>
      </c>
      <c r="M28" s="16">
        <f t="shared" si="3"/>
        <v>2558240.0099999998</v>
      </c>
      <c r="N28" s="29">
        <f t="shared" si="5"/>
        <v>0.1</v>
      </c>
    </row>
    <row r="29" spans="1:14" ht="12.75" customHeight="1">
      <c r="A29" s="14" t="s">
        <v>135</v>
      </c>
      <c r="B29" s="14" t="s">
        <v>196</v>
      </c>
      <c r="C29" s="15" t="s">
        <v>0</v>
      </c>
      <c r="D29" s="1" t="s">
        <v>3</v>
      </c>
      <c r="E29" s="26">
        <v>13153</v>
      </c>
      <c r="F29" s="24">
        <v>65.72</v>
      </c>
      <c r="G29" s="16">
        <f>F29*E29</f>
        <v>864415.16</v>
      </c>
      <c r="H29" s="28"/>
      <c r="I29" s="28"/>
      <c r="J29" s="24">
        <v>20</v>
      </c>
      <c r="K29" s="24">
        <f t="shared" si="1"/>
        <v>263060</v>
      </c>
      <c r="L29" s="24">
        <f t="shared" si="2"/>
        <v>59.147999999999996</v>
      </c>
      <c r="M29" s="16">
        <f t="shared" si="3"/>
        <v>777973.64399999997</v>
      </c>
      <c r="N29" s="29">
        <f t="shared" si="5"/>
        <v>0.1</v>
      </c>
    </row>
    <row r="30" spans="1:14" ht="12.75" customHeight="1">
      <c r="A30" s="14" t="s">
        <v>84</v>
      </c>
      <c r="B30" s="14" t="s">
        <v>86</v>
      </c>
      <c r="C30" s="15" t="s">
        <v>0</v>
      </c>
      <c r="D30" s="1" t="s">
        <v>5</v>
      </c>
      <c r="E30" s="26">
        <v>1030</v>
      </c>
      <c r="F30" s="24">
        <v>27.79</v>
      </c>
      <c r="G30" s="16">
        <f>F30*E30</f>
        <v>28623.7</v>
      </c>
      <c r="H30" s="28"/>
      <c r="I30" s="28"/>
      <c r="J30" s="24">
        <v>10</v>
      </c>
      <c r="K30" s="24">
        <f t="shared" si="1"/>
        <v>10300</v>
      </c>
      <c r="L30" s="24">
        <f t="shared" si="2"/>
        <v>25.010999999999999</v>
      </c>
      <c r="M30" s="16">
        <f t="shared" si="3"/>
        <v>25761.329999999998</v>
      </c>
      <c r="N30" s="29">
        <f t="shared" si="5"/>
        <v>0.1</v>
      </c>
    </row>
    <row r="31" spans="1:14" ht="12.75" customHeight="1">
      <c r="A31" s="14" t="s">
        <v>136</v>
      </c>
      <c r="B31" s="14" t="s">
        <v>197</v>
      </c>
      <c r="C31" s="15" t="s">
        <v>26</v>
      </c>
      <c r="D31" s="1" t="s">
        <v>5</v>
      </c>
      <c r="E31" s="26">
        <v>2013</v>
      </c>
      <c r="F31" s="27"/>
      <c r="G31" s="28"/>
      <c r="H31" s="28"/>
      <c r="I31" s="28"/>
      <c r="J31" s="28"/>
      <c r="K31" s="28"/>
      <c r="L31" s="28"/>
      <c r="M31" s="28"/>
      <c r="N31" s="29">
        <f t="shared" si="5"/>
        <v>0.1</v>
      </c>
    </row>
    <row r="32" spans="1:14" ht="12.75" customHeight="1">
      <c r="A32" s="14" t="s">
        <v>137</v>
      </c>
      <c r="B32" s="14" t="s">
        <v>198</v>
      </c>
      <c r="C32" s="15" t="s">
        <v>0</v>
      </c>
      <c r="D32" s="1" t="s">
        <v>5</v>
      </c>
      <c r="E32" s="26">
        <v>2013</v>
      </c>
      <c r="F32" s="24">
        <v>56.26</v>
      </c>
      <c r="G32" s="16">
        <f>F32*E32</f>
        <v>113251.37999999999</v>
      </c>
      <c r="H32" s="28"/>
      <c r="I32" s="28"/>
      <c r="J32" s="24">
        <v>35</v>
      </c>
      <c r="K32" s="24">
        <f t="shared" si="1"/>
        <v>70455</v>
      </c>
      <c r="L32" s="24">
        <f t="shared" si="2"/>
        <v>50.634</v>
      </c>
      <c r="M32" s="16">
        <f t="shared" si="3"/>
        <v>101926.242</v>
      </c>
      <c r="N32" s="29">
        <f t="shared" si="5"/>
        <v>0.1</v>
      </c>
    </row>
    <row r="33" spans="1:14" ht="12.75" customHeight="1">
      <c r="A33" s="14" t="s">
        <v>85</v>
      </c>
      <c r="B33" s="14" t="s">
        <v>87</v>
      </c>
      <c r="C33" s="15" t="s">
        <v>0</v>
      </c>
      <c r="D33" s="1" t="s">
        <v>5</v>
      </c>
      <c r="E33" s="26">
        <v>8523</v>
      </c>
      <c r="F33" s="24">
        <v>35.53</v>
      </c>
      <c r="G33" s="16">
        <f>F33*E33</f>
        <v>302822.19</v>
      </c>
      <c r="H33" s="28"/>
      <c r="I33" s="28"/>
      <c r="J33" s="24">
        <v>20</v>
      </c>
      <c r="K33" s="24">
        <f t="shared" si="1"/>
        <v>170460</v>
      </c>
      <c r="L33" s="24">
        <f t="shared" si="2"/>
        <v>31.977</v>
      </c>
      <c r="M33" s="16">
        <f t="shared" si="3"/>
        <v>272539.97100000002</v>
      </c>
      <c r="N33" s="29">
        <f t="shared" si="5"/>
        <v>0.1</v>
      </c>
    </row>
    <row r="34" spans="1:14" ht="12.75" customHeight="1">
      <c r="A34" s="14" t="s">
        <v>138</v>
      </c>
      <c r="B34" s="14" t="s">
        <v>199</v>
      </c>
      <c r="C34" s="15" t="s">
        <v>26</v>
      </c>
      <c r="D34" s="1" t="s">
        <v>5</v>
      </c>
      <c r="E34" s="26">
        <v>28551</v>
      </c>
      <c r="F34" s="27"/>
      <c r="G34" s="28"/>
      <c r="H34" s="28"/>
      <c r="I34" s="28"/>
      <c r="J34" s="28"/>
      <c r="K34" s="28"/>
      <c r="L34" s="28"/>
      <c r="M34" s="28"/>
      <c r="N34" s="29">
        <f t="shared" si="5"/>
        <v>0.1</v>
      </c>
    </row>
    <row r="35" spans="1:14" ht="12.75" customHeight="1">
      <c r="A35" s="14" t="s">
        <v>139</v>
      </c>
      <c r="B35" s="14" t="s">
        <v>200</v>
      </c>
      <c r="C35" s="15" t="s">
        <v>0</v>
      </c>
      <c r="D35" s="1" t="s">
        <v>5</v>
      </c>
      <c r="E35" s="26">
        <v>28551</v>
      </c>
      <c r="F35" s="24">
        <v>65.53</v>
      </c>
      <c r="G35" s="16">
        <f>F35*E35</f>
        <v>1870947.03</v>
      </c>
      <c r="H35" s="28"/>
      <c r="I35" s="28"/>
      <c r="J35" s="24">
        <v>40</v>
      </c>
      <c r="K35" s="24">
        <f t="shared" si="1"/>
        <v>1142040</v>
      </c>
      <c r="L35" s="24">
        <f t="shared" si="2"/>
        <v>58.977000000000004</v>
      </c>
      <c r="M35" s="16">
        <f t="shared" si="3"/>
        <v>1683852.327</v>
      </c>
      <c r="N35" s="29">
        <f t="shared" si="5"/>
        <v>0.1</v>
      </c>
    </row>
    <row r="36" spans="1:14" ht="12.75" customHeight="1">
      <c r="A36" s="14" t="s">
        <v>140</v>
      </c>
      <c r="B36" s="14" t="s">
        <v>201</v>
      </c>
      <c r="C36" s="15" t="s">
        <v>0</v>
      </c>
      <c r="D36" s="1" t="s">
        <v>5</v>
      </c>
      <c r="E36" s="26">
        <v>5326</v>
      </c>
      <c r="F36" s="24">
        <v>41.55</v>
      </c>
      <c r="G36" s="16">
        <f>F36*E36</f>
        <v>221295.3</v>
      </c>
      <c r="H36" s="28"/>
      <c r="I36" s="28"/>
      <c r="J36" s="24">
        <v>25</v>
      </c>
      <c r="K36" s="24">
        <f t="shared" si="1"/>
        <v>133150</v>
      </c>
      <c r="L36" s="24">
        <f t="shared" si="2"/>
        <v>37.394999999999996</v>
      </c>
      <c r="M36" s="16">
        <f t="shared" si="3"/>
        <v>199165.77</v>
      </c>
      <c r="N36" s="29">
        <f t="shared" si="5"/>
        <v>0.1</v>
      </c>
    </row>
    <row r="37" spans="1:14" ht="12.75" customHeight="1">
      <c r="A37" s="14" t="s">
        <v>141</v>
      </c>
      <c r="B37" s="14" t="s">
        <v>202</v>
      </c>
      <c r="C37" s="15" t="s">
        <v>26</v>
      </c>
      <c r="D37" s="1" t="s">
        <v>5</v>
      </c>
      <c r="E37" s="26">
        <v>52219</v>
      </c>
      <c r="F37" s="27"/>
      <c r="G37" s="28"/>
      <c r="H37" s="28"/>
      <c r="I37" s="28"/>
      <c r="J37" s="28"/>
      <c r="K37" s="28"/>
      <c r="L37" s="28"/>
      <c r="M37" s="28"/>
      <c r="N37" s="29">
        <f t="shared" si="5"/>
        <v>0.1</v>
      </c>
    </row>
    <row r="38" spans="1:14" ht="12.75" customHeight="1">
      <c r="A38" s="14" t="s">
        <v>142</v>
      </c>
      <c r="B38" s="14" t="s">
        <v>203</v>
      </c>
      <c r="C38" s="15" t="s">
        <v>0</v>
      </c>
      <c r="D38" s="1" t="s">
        <v>5</v>
      </c>
      <c r="E38" s="26">
        <v>52219</v>
      </c>
      <c r="F38" s="24">
        <v>78.709999999999994</v>
      </c>
      <c r="G38" s="16">
        <f>F38*E38</f>
        <v>4110157.4899999998</v>
      </c>
      <c r="H38" s="28"/>
      <c r="I38" s="28"/>
      <c r="J38" s="24">
        <v>45</v>
      </c>
      <c r="K38" s="24">
        <f t="shared" si="1"/>
        <v>2349855</v>
      </c>
      <c r="L38" s="24">
        <f t="shared" si="2"/>
        <v>70.838999999999999</v>
      </c>
      <c r="M38" s="16">
        <f t="shared" si="3"/>
        <v>3699141.7409999999</v>
      </c>
      <c r="N38" s="29">
        <f t="shared" si="5"/>
        <v>0.1</v>
      </c>
    </row>
    <row r="39" spans="1:14" ht="12.75" customHeight="1">
      <c r="A39" s="14" t="s">
        <v>143</v>
      </c>
      <c r="B39" s="14" t="s">
        <v>204</v>
      </c>
      <c r="C39" s="15" t="s">
        <v>0</v>
      </c>
      <c r="D39" s="1" t="s">
        <v>5</v>
      </c>
      <c r="E39" s="26">
        <v>3546</v>
      </c>
      <c r="F39" s="24">
        <v>49.86</v>
      </c>
      <c r="G39" s="16">
        <f>F39*E39</f>
        <v>176803.56</v>
      </c>
      <c r="H39" s="28"/>
      <c r="I39" s="28"/>
      <c r="J39" s="24">
        <v>25</v>
      </c>
      <c r="K39" s="24">
        <f t="shared" si="1"/>
        <v>88650</v>
      </c>
      <c r="L39" s="24">
        <f t="shared" si="2"/>
        <v>44.873999999999995</v>
      </c>
      <c r="M39" s="16">
        <f t="shared" si="3"/>
        <v>159123.20399999997</v>
      </c>
      <c r="N39" s="29">
        <f t="shared" si="5"/>
        <v>0.1</v>
      </c>
    </row>
    <row r="40" spans="1:14" ht="12.75" customHeight="1">
      <c r="A40" s="14" t="s">
        <v>144</v>
      </c>
      <c r="B40" s="14" t="s">
        <v>205</v>
      </c>
      <c r="C40" s="15" t="s">
        <v>26</v>
      </c>
      <c r="D40" s="1" t="s">
        <v>5</v>
      </c>
      <c r="E40" s="26">
        <v>23077</v>
      </c>
      <c r="F40" s="27"/>
      <c r="G40" s="28"/>
      <c r="H40" s="28"/>
      <c r="I40" s="28"/>
      <c r="J40" s="28"/>
      <c r="K40" s="28"/>
      <c r="L40" s="28"/>
      <c r="M40" s="28"/>
      <c r="N40" s="29">
        <f t="shared" si="5"/>
        <v>0.1</v>
      </c>
    </row>
    <row r="41" spans="1:14" ht="12.75" customHeight="1">
      <c r="A41" s="14" t="s">
        <v>145</v>
      </c>
      <c r="B41" s="14" t="s">
        <v>206</v>
      </c>
      <c r="C41" s="15" t="s">
        <v>0</v>
      </c>
      <c r="D41" s="1" t="s">
        <v>5</v>
      </c>
      <c r="E41" s="26">
        <v>23077</v>
      </c>
      <c r="F41" s="24">
        <v>91.23</v>
      </c>
      <c r="G41" s="16">
        <f>F41*E41</f>
        <v>2105314.71</v>
      </c>
      <c r="H41" s="28"/>
      <c r="I41" s="28"/>
      <c r="J41" s="24">
        <v>50</v>
      </c>
      <c r="K41" s="24">
        <f t="shared" si="1"/>
        <v>1153850</v>
      </c>
      <c r="L41" s="24">
        <f t="shared" si="2"/>
        <v>82.106999999999999</v>
      </c>
      <c r="M41" s="16">
        <f t="shared" si="3"/>
        <v>1894783.2390000001</v>
      </c>
      <c r="N41" s="29">
        <f t="shared" si="5"/>
        <v>0.1</v>
      </c>
    </row>
    <row r="42" spans="1:14" ht="12.75" customHeight="1">
      <c r="A42" s="14" t="s">
        <v>146</v>
      </c>
      <c r="B42" s="14" t="s">
        <v>207</v>
      </c>
      <c r="C42" s="15" t="s">
        <v>26</v>
      </c>
      <c r="D42" s="1" t="s">
        <v>5</v>
      </c>
      <c r="E42" s="26">
        <v>3355</v>
      </c>
      <c r="F42" s="27"/>
      <c r="G42" s="28"/>
      <c r="H42" s="28"/>
      <c r="I42" s="28"/>
      <c r="J42" s="28"/>
      <c r="K42" s="28"/>
      <c r="L42" s="28"/>
      <c r="M42" s="28"/>
      <c r="N42" s="29">
        <f t="shared" si="5"/>
        <v>0.1</v>
      </c>
    </row>
    <row r="43" spans="1:14" ht="12.75" customHeight="1">
      <c r="A43" s="14" t="s">
        <v>147</v>
      </c>
      <c r="B43" s="14" t="s">
        <v>208</v>
      </c>
      <c r="C43" s="15" t="s">
        <v>0</v>
      </c>
      <c r="D43" s="1" t="s">
        <v>5</v>
      </c>
      <c r="E43" s="26">
        <v>3355</v>
      </c>
      <c r="F43" s="24">
        <v>100.49</v>
      </c>
      <c r="G43" s="16">
        <f t="shared" ref="G43:G61" si="7">F43*E43</f>
        <v>337143.95</v>
      </c>
      <c r="H43" s="28"/>
      <c r="I43" s="28"/>
      <c r="J43" s="24">
        <v>50</v>
      </c>
      <c r="K43" s="24">
        <f t="shared" si="1"/>
        <v>167750</v>
      </c>
      <c r="L43" s="24">
        <f t="shared" si="2"/>
        <v>90.441000000000003</v>
      </c>
      <c r="M43" s="16">
        <f t="shared" si="3"/>
        <v>303429.55499999999</v>
      </c>
      <c r="N43" s="29">
        <f t="shared" si="5"/>
        <v>0.1</v>
      </c>
    </row>
    <row r="44" spans="1:14" ht="12.75" customHeight="1">
      <c r="A44" s="14" t="s">
        <v>282</v>
      </c>
      <c r="B44" s="14" t="s">
        <v>283</v>
      </c>
      <c r="C44" s="15" t="s">
        <v>0</v>
      </c>
      <c r="D44" s="1" t="s">
        <v>4</v>
      </c>
      <c r="E44" s="26">
        <v>3310</v>
      </c>
      <c r="F44" s="24">
        <v>0</v>
      </c>
      <c r="G44" s="16">
        <f t="shared" ref="G44" si="8">F44*E44</f>
        <v>0</v>
      </c>
      <c r="H44" s="24">
        <v>150</v>
      </c>
      <c r="I44" s="16">
        <f t="shared" si="4"/>
        <v>496500</v>
      </c>
      <c r="J44" s="28"/>
      <c r="K44" s="28"/>
      <c r="L44" s="28"/>
      <c r="M44" s="28"/>
      <c r="N44" s="29">
        <f t="shared" si="5"/>
        <v>0.1</v>
      </c>
    </row>
    <row r="45" spans="1:14" ht="12.75" customHeight="1">
      <c r="A45" s="14" t="s">
        <v>148</v>
      </c>
      <c r="B45" s="14" t="s">
        <v>209</v>
      </c>
      <c r="C45" s="15" t="s">
        <v>0</v>
      </c>
      <c r="D45" s="1" t="s">
        <v>4</v>
      </c>
      <c r="E45" s="26">
        <v>4908</v>
      </c>
      <c r="F45" s="24">
        <v>0</v>
      </c>
      <c r="G45" s="16">
        <f t="shared" si="7"/>
        <v>0</v>
      </c>
      <c r="H45" s="28"/>
      <c r="I45" s="28"/>
      <c r="J45" s="28"/>
      <c r="K45" s="28"/>
      <c r="L45" s="28"/>
      <c r="M45" s="28"/>
      <c r="N45" s="29">
        <f t="shared" si="5"/>
        <v>0.1</v>
      </c>
    </row>
    <row r="46" spans="1:14" ht="12.75" customHeight="1">
      <c r="A46" s="14" t="s">
        <v>149</v>
      </c>
      <c r="B46" s="14" t="s">
        <v>210</v>
      </c>
      <c r="C46" s="15" t="s">
        <v>0</v>
      </c>
      <c r="D46" s="1" t="s">
        <v>4</v>
      </c>
      <c r="E46" s="26">
        <v>1766</v>
      </c>
      <c r="F46" s="24">
        <v>0</v>
      </c>
      <c r="G46" s="16">
        <f t="shared" si="7"/>
        <v>0</v>
      </c>
      <c r="H46" s="24">
        <v>80</v>
      </c>
      <c r="I46" s="16">
        <f t="shared" si="4"/>
        <v>141280</v>
      </c>
      <c r="J46" s="28"/>
      <c r="K46" s="28"/>
      <c r="L46" s="28"/>
      <c r="M46" s="28"/>
      <c r="N46" s="29">
        <f t="shared" si="5"/>
        <v>0.1</v>
      </c>
    </row>
    <row r="47" spans="1:14" ht="12.75" customHeight="1">
      <c r="A47" s="14" t="s">
        <v>150</v>
      </c>
      <c r="B47" s="14" t="s">
        <v>211</v>
      </c>
      <c r="C47" s="15" t="s">
        <v>0</v>
      </c>
      <c r="D47" s="1" t="s">
        <v>4</v>
      </c>
      <c r="E47" s="26">
        <v>1766</v>
      </c>
      <c r="F47" s="24">
        <v>0</v>
      </c>
      <c r="G47" s="16">
        <f t="shared" si="7"/>
        <v>0</v>
      </c>
      <c r="H47" s="28"/>
      <c r="I47" s="28"/>
      <c r="J47" s="28"/>
      <c r="K47" s="28"/>
      <c r="L47" s="28"/>
      <c r="M47" s="28"/>
      <c r="N47" s="29">
        <f t="shared" si="5"/>
        <v>0.1</v>
      </c>
    </row>
    <row r="48" spans="1:14" ht="12.75" customHeight="1">
      <c r="A48" s="14" t="s">
        <v>284</v>
      </c>
      <c r="B48" s="14" t="s">
        <v>285</v>
      </c>
      <c r="C48" s="15" t="s">
        <v>0</v>
      </c>
      <c r="D48" s="1" t="s">
        <v>4</v>
      </c>
      <c r="E48" s="26">
        <v>4038</v>
      </c>
      <c r="F48" s="24">
        <v>0</v>
      </c>
      <c r="G48" s="16">
        <f t="shared" si="7"/>
        <v>0</v>
      </c>
      <c r="H48" s="24">
        <v>1500</v>
      </c>
      <c r="I48" s="16">
        <f t="shared" si="4"/>
        <v>6057000</v>
      </c>
      <c r="J48" s="28"/>
      <c r="K48" s="28"/>
      <c r="L48" s="28"/>
      <c r="M48" s="28"/>
      <c r="N48" s="29">
        <f t="shared" si="5"/>
        <v>0.1</v>
      </c>
    </row>
    <row r="49" spans="1:14" ht="12.75" customHeight="1">
      <c r="A49" s="14" t="s">
        <v>286</v>
      </c>
      <c r="B49" s="14" t="s">
        <v>287</v>
      </c>
      <c r="C49" s="15" t="s">
        <v>0</v>
      </c>
      <c r="D49" s="1" t="s">
        <v>4</v>
      </c>
      <c r="E49" s="26">
        <v>4038</v>
      </c>
      <c r="F49" s="24">
        <v>0</v>
      </c>
      <c r="G49" s="16">
        <f t="shared" si="7"/>
        <v>0</v>
      </c>
      <c r="H49" s="28"/>
      <c r="I49" s="28"/>
      <c r="J49" s="28"/>
      <c r="K49" s="28"/>
      <c r="L49" s="28"/>
      <c r="M49" s="28"/>
      <c r="N49" s="29">
        <f t="shared" si="5"/>
        <v>0.1</v>
      </c>
    </row>
    <row r="50" spans="1:14" ht="12.75" customHeight="1">
      <c r="A50" s="14" t="s">
        <v>92</v>
      </c>
      <c r="B50" s="14" t="s">
        <v>106</v>
      </c>
      <c r="C50" s="15" t="s">
        <v>0</v>
      </c>
      <c r="D50" s="1" t="s">
        <v>4</v>
      </c>
      <c r="E50" s="26">
        <v>948</v>
      </c>
      <c r="F50" s="24">
        <v>0</v>
      </c>
      <c r="G50" s="16">
        <f t="shared" si="7"/>
        <v>0</v>
      </c>
      <c r="H50" s="24">
        <v>300</v>
      </c>
      <c r="I50" s="16">
        <f t="shared" si="4"/>
        <v>284400</v>
      </c>
      <c r="J50" s="28"/>
      <c r="K50" s="28"/>
      <c r="L50" s="28"/>
      <c r="M50" s="28"/>
      <c r="N50" s="29">
        <f t="shared" si="5"/>
        <v>0.1</v>
      </c>
    </row>
    <row r="51" spans="1:14" ht="12.75" customHeight="1">
      <c r="A51" s="14" t="s">
        <v>93</v>
      </c>
      <c r="B51" s="14" t="s">
        <v>107</v>
      </c>
      <c r="C51" s="15" t="s">
        <v>0</v>
      </c>
      <c r="D51" s="1" t="s">
        <v>4</v>
      </c>
      <c r="E51" s="26">
        <v>948</v>
      </c>
      <c r="F51" s="24">
        <v>0</v>
      </c>
      <c r="G51" s="16">
        <f t="shared" si="7"/>
        <v>0</v>
      </c>
      <c r="H51" s="28"/>
      <c r="I51" s="28"/>
      <c r="J51" s="28"/>
      <c r="K51" s="28"/>
      <c r="L51" s="28"/>
      <c r="M51" s="28"/>
      <c r="N51" s="29">
        <f t="shared" si="5"/>
        <v>0.1</v>
      </c>
    </row>
    <row r="52" spans="1:14" ht="12.75" customHeight="1">
      <c r="A52" s="14" t="s">
        <v>280</v>
      </c>
      <c r="B52" s="14" t="s">
        <v>281</v>
      </c>
      <c r="C52" s="15" t="s">
        <v>0</v>
      </c>
      <c r="D52" s="1" t="s">
        <v>4</v>
      </c>
      <c r="E52" s="26">
        <v>1248</v>
      </c>
      <c r="F52" s="24">
        <v>0</v>
      </c>
      <c r="G52" s="16">
        <f t="shared" ref="G52" si="9">F52*E52</f>
        <v>0</v>
      </c>
      <c r="H52" s="24">
        <v>500</v>
      </c>
      <c r="I52" s="16">
        <f t="shared" si="4"/>
        <v>624000</v>
      </c>
      <c r="J52" s="28"/>
      <c r="K52" s="28"/>
      <c r="L52" s="28"/>
      <c r="M52" s="28"/>
      <c r="N52" s="29">
        <f t="shared" si="5"/>
        <v>0.1</v>
      </c>
    </row>
    <row r="53" spans="1:14" ht="12.75" customHeight="1">
      <c r="A53" s="14" t="s">
        <v>56</v>
      </c>
      <c r="B53" s="14" t="s">
        <v>62</v>
      </c>
      <c r="C53" s="15" t="s">
        <v>0</v>
      </c>
      <c r="D53" s="1" t="s">
        <v>4</v>
      </c>
      <c r="E53" s="26">
        <v>85</v>
      </c>
      <c r="F53" s="24">
        <v>1362.98</v>
      </c>
      <c r="G53" s="16">
        <f t="shared" si="7"/>
        <v>115853.3</v>
      </c>
      <c r="H53" s="24">
        <v>2500</v>
      </c>
      <c r="I53" s="16">
        <f t="shared" si="4"/>
        <v>212500</v>
      </c>
      <c r="J53" s="28"/>
      <c r="K53" s="28"/>
      <c r="L53" s="24">
        <f t="shared" si="2"/>
        <v>1226.682</v>
      </c>
      <c r="M53" s="16">
        <f t="shared" si="3"/>
        <v>104267.97</v>
      </c>
      <c r="N53" s="29">
        <f t="shared" si="5"/>
        <v>0.1</v>
      </c>
    </row>
    <row r="54" spans="1:14" ht="12.75" customHeight="1">
      <c r="A54" s="14" t="s">
        <v>57</v>
      </c>
      <c r="B54" s="14" t="s">
        <v>63</v>
      </c>
      <c r="C54" s="15" t="s">
        <v>0</v>
      </c>
      <c r="D54" s="1" t="s">
        <v>4</v>
      </c>
      <c r="E54" s="26">
        <v>85</v>
      </c>
      <c r="F54" s="24">
        <v>1924.24</v>
      </c>
      <c r="G54" s="16">
        <f t="shared" si="7"/>
        <v>163560.4</v>
      </c>
      <c r="H54" s="28"/>
      <c r="I54" s="28"/>
      <c r="J54" s="24">
        <v>750</v>
      </c>
      <c r="K54" s="24">
        <f t="shared" si="1"/>
        <v>63750</v>
      </c>
      <c r="L54" s="24">
        <f t="shared" si="2"/>
        <v>1731.816</v>
      </c>
      <c r="M54" s="16">
        <f t="shared" si="3"/>
        <v>147204.36000000002</v>
      </c>
      <c r="N54" s="29">
        <f t="shared" si="5"/>
        <v>0.1</v>
      </c>
    </row>
    <row r="55" spans="1:14" ht="12.75" customHeight="1">
      <c r="A55" s="14" t="s">
        <v>151</v>
      </c>
      <c r="B55" s="14" t="s">
        <v>212</v>
      </c>
      <c r="C55" s="15" t="s">
        <v>0</v>
      </c>
      <c r="D55" s="1" t="s">
        <v>4</v>
      </c>
      <c r="E55" s="26">
        <v>13</v>
      </c>
      <c r="F55" s="24">
        <v>773.49</v>
      </c>
      <c r="G55" s="16">
        <f t="shared" si="7"/>
        <v>10055.370000000001</v>
      </c>
      <c r="H55" s="28"/>
      <c r="I55" s="28"/>
      <c r="J55" s="24">
        <v>200</v>
      </c>
      <c r="K55" s="24">
        <f t="shared" si="1"/>
        <v>2600</v>
      </c>
      <c r="L55" s="24">
        <f t="shared" si="2"/>
        <v>696.14099999999996</v>
      </c>
      <c r="M55" s="16">
        <f t="shared" si="3"/>
        <v>9049.8329999999987</v>
      </c>
      <c r="N55" s="29">
        <f t="shared" si="5"/>
        <v>0.1</v>
      </c>
    </row>
    <row r="56" spans="1:14" ht="12.75" customHeight="1">
      <c r="A56" s="14" t="s">
        <v>94</v>
      </c>
      <c r="B56" s="14" t="s">
        <v>108</v>
      </c>
      <c r="C56" s="15" t="s">
        <v>0</v>
      </c>
      <c r="D56" s="1" t="s">
        <v>4</v>
      </c>
      <c r="E56" s="26">
        <v>23</v>
      </c>
      <c r="F56" s="24">
        <v>20921.82</v>
      </c>
      <c r="G56" s="16">
        <f t="shared" si="7"/>
        <v>481201.86</v>
      </c>
      <c r="H56" s="24">
        <v>35000</v>
      </c>
      <c r="I56" s="16">
        <f t="shared" si="4"/>
        <v>805000</v>
      </c>
      <c r="J56" s="28"/>
      <c r="K56" s="28"/>
      <c r="L56" s="24">
        <f t="shared" si="2"/>
        <v>18829.637999999999</v>
      </c>
      <c r="M56" s="16">
        <f t="shared" si="3"/>
        <v>433081.674</v>
      </c>
      <c r="N56" s="29">
        <f t="shared" si="5"/>
        <v>0.1</v>
      </c>
    </row>
    <row r="57" spans="1:14" ht="12.75" customHeight="1">
      <c r="A57" s="14" t="s">
        <v>95</v>
      </c>
      <c r="B57" s="14" t="s">
        <v>109</v>
      </c>
      <c r="C57" s="15" t="s">
        <v>0</v>
      </c>
      <c r="D57" s="1" t="s">
        <v>4</v>
      </c>
      <c r="E57" s="26">
        <v>23</v>
      </c>
      <c r="F57" s="24">
        <v>11634.57</v>
      </c>
      <c r="G57" s="16">
        <f t="shared" si="7"/>
        <v>267595.11</v>
      </c>
      <c r="H57" s="28"/>
      <c r="I57" s="28"/>
      <c r="J57" s="24">
        <v>7500</v>
      </c>
      <c r="K57" s="24">
        <f t="shared" si="1"/>
        <v>172500</v>
      </c>
      <c r="L57" s="24">
        <f t="shared" si="2"/>
        <v>10471.112999999999</v>
      </c>
      <c r="M57" s="16">
        <f t="shared" si="3"/>
        <v>240835.59899999999</v>
      </c>
      <c r="N57" s="29">
        <f t="shared" si="5"/>
        <v>0.1</v>
      </c>
    </row>
    <row r="58" spans="1:14" ht="12.75" customHeight="1">
      <c r="A58" s="14" t="s">
        <v>152</v>
      </c>
      <c r="B58" s="14" t="s">
        <v>213</v>
      </c>
      <c r="C58" s="15" t="s">
        <v>0</v>
      </c>
      <c r="D58" s="1" t="s">
        <v>4</v>
      </c>
      <c r="E58" s="26">
        <v>5</v>
      </c>
      <c r="F58" s="24">
        <v>6739.95</v>
      </c>
      <c r="G58" s="16">
        <f t="shared" si="7"/>
        <v>33699.75</v>
      </c>
      <c r="H58" s="28"/>
      <c r="I58" s="28"/>
      <c r="J58" s="24">
        <v>3500</v>
      </c>
      <c r="K58" s="24">
        <f t="shared" si="1"/>
        <v>17500</v>
      </c>
      <c r="L58" s="24">
        <f t="shared" si="2"/>
        <v>6065.9549999999999</v>
      </c>
      <c r="M58" s="16">
        <f t="shared" si="3"/>
        <v>30329.775000000001</v>
      </c>
      <c r="N58" s="29">
        <f t="shared" si="5"/>
        <v>0.1</v>
      </c>
    </row>
    <row r="59" spans="1:14" ht="12.75" customHeight="1">
      <c r="A59" s="14" t="s">
        <v>153</v>
      </c>
      <c r="B59" s="14" t="s">
        <v>214</v>
      </c>
      <c r="C59" s="15" t="s">
        <v>0</v>
      </c>
      <c r="D59" s="1" t="s">
        <v>4</v>
      </c>
      <c r="E59" s="26">
        <v>5</v>
      </c>
      <c r="F59" s="24">
        <v>6739.95</v>
      </c>
      <c r="G59" s="16">
        <f t="shared" si="7"/>
        <v>33699.75</v>
      </c>
      <c r="H59" s="28"/>
      <c r="I59" s="28"/>
      <c r="J59" s="24">
        <v>3500</v>
      </c>
      <c r="K59" s="24">
        <f t="shared" si="1"/>
        <v>17500</v>
      </c>
      <c r="L59" s="24">
        <f t="shared" si="2"/>
        <v>6065.9549999999999</v>
      </c>
      <c r="M59" s="16">
        <f t="shared" si="3"/>
        <v>30329.775000000001</v>
      </c>
      <c r="N59" s="29">
        <f t="shared" si="5"/>
        <v>0.1</v>
      </c>
    </row>
    <row r="60" spans="1:14">
      <c r="A60" s="14" t="s">
        <v>154</v>
      </c>
      <c r="B60" s="14" t="s">
        <v>215</v>
      </c>
      <c r="C60" s="15" t="s">
        <v>0</v>
      </c>
      <c r="D60" s="1" t="s">
        <v>4</v>
      </c>
      <c r="E60" s="26">
        <v>2</v>
      </c>
      <c r="F60" s="24">
        <v>9307.58</v>
      </c>
      <c r="G60" s="16">
        <f t="shared" si="7"/>
        <v>18615.16</v>
      </c>
      <c r="H60" s="28"/>
      <c r="I60" s="28"/>
      <c r="J60" s="24">
        <v>7500</v>
      </c>
      <c r="K60" s="24">
        <f t="shared" si="1"/>
        <v>15000</v>
      </c>
      <c r="L60" s="24">
        <f t="shared" si="2"/>
        <v>8376.8220000000001</v>
      </c>
      <c r="M60" s="16">
        <f t="shared" si="3"/>
        <v>16753.644</v>
      </c>
      <c r="N60" s="29">
        <f t="shared" si="5"/>
        <v>0.1</v>
      </c>
    </row>
    <row r="61" spans="1:14">
      <c r="A61" s="14" t="s">
        <v>155</v>
      </c>
      <c r="B61" s="14" t="s">
        <v>216</v>
      </c>
      <c r="C61" s="15" t="s">
        <v>0</v>
      </c>
      <c r="D61" s="1" t="s">
        <v>4</v>
      </c>
      <c r="E61" s="26">
        <v>138</v>
      </c>
      <c r="F61" s="24">
        <v>0</v>
      </c>
      <c r="G61" s="16">
        <f t="shared" si="7"/>
        <v>0</v>
      </c>
      <c r="H61" s="24">
        <v>500</v>
      </c>
      <c r="I61" s="16">
        <f t="shared" si="4"/>
        <v>69000</v>
      </c>
      <c r="J61" s="28"/>
      <c r="K61" s="28"/>
      <c r="L61" s="24">
        <f t="shared" si="2"/>
        <v>0</v>
      </c>
      <c r="M61" s="16">
        <f t="shared" si="3"/>
        <v>0</v>
      </c>
      <c r="N61" s="29">
        <f t="shared" si="5"/>
        <v>0.1</v>
      </c>
    </row>
    <row r="62" spans="1:14">
      <c r="A62" s="14" t="s">
        <v>275</v>
      </c>
      <c r="B62" s="14" t="s">
        <v>276</v>
      </c>
      <c r="C62" s="15" t="s">
        <v>26</v>
      </c>
      <c r="D62" s="1" t="s">
        <v>4</v>
      </c>
      <c r="E62" s="26">
        <v>1571</v>
      </c>
      <c r="F62" s="27"/>
      <c r="G62" s="28"/>
      <c r="H62" s="28"/>
      <c r="I62" s="28"/>
      <c r="J62" s="28"/>
      <c r="K62" s="28"/>
      <c r="L62" s="28"/>
      <c r="M62" s="28"/>
      <c r="N62" s="29">
        <f t="shared" si="5"/>
        <v>0.1</v>
      </c>
    </row>
    <row r="63" spans="1:14">
      <c r="A63" s="14" t="s">
        <v>277</v>
      </c>
      <c r="B63" s="14" t="s">
        <v>278</v>
      </c>
      <c r="C63" s="15" t="s">
        <v>0</v>
      </c>
      <c r="D63" s="1" t="s">
        <v>4</v>
      </c>
      <c r="E63" s="26">
        <v>1571</v>
      </c>
      <c r="F63" s="24">
        <v>766.93</v>
      </c>
      <c r="G63" s="16">
        <f>F63*E63</f>
        <v>1204847.03</v>
      </c>
      <c r="H63" s="28"/>
      <c r="I63" s="28"/>
      <c r="J63" s="24">
        <v>300</v>
      </c>
      <c r="K63" s="24">
        <f t="shared" si="1"/>
        <v>471300</v>
      </c>
      <c r="L63" s="24">
        <f t="shared" si="2"/>
        <v>690.23699999999997</v>
      </c>
      <c r="M63" s="16">
        <f t="shared" si="3"/>
        <v>1084362.327</v>
      </c>
      <c r="N63" s="29">
        <f t="shared" si="5"/>
        <v>0.1</v>
      </c>
    </row>
    <row r="64" spans="1:14">
      <c r="A64" s="14" t="s">
        <v>156</v>
      </c>
      <c r="B64" s="14" t="s">
        <v>217</v>
      </c>
      <c r="C64" s="15" t="s">
        <v>0</v>
      </c>
      <c r="D64" s="1" t="s">
        <v>4</v>
      </c>
      <c r="E64" s="26">
        <v>399</v>
      </c>
      <c r="F64" s="24">
        <v>379.91</v>
      </c>
      <c r="G64" s="16">
        <f>F64*E64</f>
        <v>151584.09</v>
      </c>
      <c r="H64" s="28"/>
      <c r="I64" s="28"/>
      <c r="J64" s="24">
        <v>150</v>
      </c>
      <c r="K64" s="24">
        <f t="shared" si="1"/>
        <v>59850</v>
      </c>
      <c r="L64" s="24">
        <f t="shared" si="2"/>
        <v>341.91900000000004</v>
      </c>
      <c r="M64" s="16">
        <f t="shared" si="3"/>
        <v>136425.68100000001</v>
      </c>
      <c r="N64" s="29">
        <f t="shared" si="5"/>
        <v>0.1</v>
      </c>
    </row>
    <row r="65" spans="1:14">
      <c r="A65" s="14" t="s">
        <v>66</v>
      </c>
      <c r="B65" s="14" t="s">
        <v>75</v>
      </c>
      <c r="C65" s="15" t="s">
        <v>26</v>
      </c>
      <c r="D65" s="1" t="s">
        <v>4</v>
      </c>
      <c r="E65" s="26">
        <v>5</v>
      </c>
      <c r="F65" s="27"/>
      <c r="G65" s="28"/>
      <c r="H65" s="28"/>
      <c r="I65" s="28"/>
      <c r="J65" s="28"/>
      <c r="K65" s="28"/>
      <c r="L65" s="28"/>
      <c r="M65" s="28"/>
      <c r="N65" s="29">
        <f t="shared" si="5"/>
        <v>0.1</v>
      </c>
    </row>
    <row r="66" spans="1:14">
      <c r="A66" s="14" t="s">
        <v>67</v>
      </c>
      <c r="B66" s="14" t="s">
        <v>76</v>
      </c>
      <c r="C66" s="15" t="s">
        <v>0</v>
      </c>
      <c r="D66" s="1" t="s">
        <v>4</v>
      </c>
      <c r="E66" s="26">
        <v>5</v>
      </c>
      <c r="F66" s="24">
        <v>3120</v>
      </c>
      <c r="G66" s="16">
        <f>F66*E66</f>
        <v>15600</v>
      </c>
      <c r="H66" s="28"/>
      <c r="I66" s="28"/>
      <c r="J66" s="24">
        <v>2500</v>
      </c>
      <c r="K66" s="24">
        <f t="shared" si="1"/>
        <v>12500</v>
      </c>
      <c r="L66" s="24">
        <f t="shared" si="2"/>
        <v>2808</v>
      </c>
      <c r="M66" s="16">
        <f t="shared" si="3"/>
        <v>14040</v>
      </c>
      <c r="N66" s="29">
        <f t="shared" si="5"/>
        <v>0.1</v>
      </c>
    </row>
    <row r="67" spans="1:14">
      <c r="A67" s="14" t="s">
        <v>68</v>
      </c>
      <c r="B67" s="14" t="s">
        <v>77</v>
      </c>
      <c r="C67" s="15" t="s">
        <v>26</v>
      </c>
      <c r="D67" s="1" t="s">
        <v>4</v>
      </c>
      <c r="E67" s="26">
        <v>1</v>
      </c>
      <c r="F67" s="27"/>
      <c r="G67" s="28"/>
      <c r="H67" s="28"/>
      <c r="I67" s="28"/>
      <c r="J67" s="28"/>
      <c r="K67" s="28"/>
      <c r="L67" s="28"/>
      <c r="M67" s="28"/>
      <c r="N67" s="29">
        <f t="shared" si="5"/>
        <v>0.1</v>
      </c>
    </row>
    <row r="68" spans="1:14">
      <c r="A68" s="14" t="s">
        <v>69</v>
      </c>
      <c r="B68" s="14" t="s">
        <v>78</v>
      </c>
      <c r="C68" s="15" t="s">
        <v>0</v>
      </c>
      <c r="D68" s="1" t="s">
        <v>4</v>
      </c>
      <c r="E68" s="26">
        <v>1</v>
      </c>
      <c r="F68" s="24">
        <v>3120</v>
      </c>
      <c r="G68" s="16">
        <f>F68*E68</f>
        <v>3120</v>
      </c>
      <c r="H68" s="28"/>
      <c r="I68" s="28"/>
      <c r="J68" s="24">
        <v>2500</v>
      </c>
      <c r="K68" s="24">
        <f t="shared" ref="K68:K129" si="10">+J68*E68</f>
        <v>2500</v>
      </c>
      <c r="L68" s="24">
        <f t="shared" ref="L68:L129" si="11">+F68-(F68*N68)</f>
        <v>2808</v>
      </c>
      <c r="M68" s="16">
        <f t="shared" ref="M68:M129" si="12">+L68*E68</f>
        <v>2808</v>
      </c>
      <c r="N68" s="29">
        <f t="shared" si="5"/>
        <v>0.1</v>
      </c>
    </row>
    <row r="69" spans="1:14">
      <c r="A69" s="14" t="s">
        <v>242</v>
      </c>
      <c r="B69" s="14" t="s">
        <v>244</v>
      </c>
      <c r="C69" s="15" t="s">
        <v>26</v>
      </c>
      <c r="D69" s="1" t="s">
        <v>4</v>
      </c>
      <c r="E69" s="26">
        <v>5</v>
      </c>
      <c r="F69" s="27"/>
      <c r="G69" s="28"/>
      <c r="H69" s="28"/>
      <c r="I69" s="28"/>
      <c r="J69" s="28"/>
      <c r="K69" s="28"/>
      <c r="L69" s="28"/>
      <c r="M69" s="28"/>
      <c r="N69" s="29">
        <f t="shared" si="5"/>
        <v>0.1</v>
      </c>
    </row>
    <row r="70" spans="1:14">
      <c r="A70" s="14" t="s">
        <v>243</v>
      </c>
      <c r="B70" s="14" t="s">
        <v>245</v>
      </c>
      <c r="C70" s="15" t="s">
        <v>0</v>
      </c>
      <c r="D70" s="1" t="s">
        <v>4</v>
      </c>
      <c r="E70" s="26">
        <v>5</v>
      </c>
      <c r="F70" s="24">
        <v>3120</v>
      </c>
      <c r="G70" s="16">
        <f>F70*E70</f>
        <v>15600</v>
      </c>
      <c r="H70" s="28"/>
      <c r="I70" s="28"/>
      <c r="J70" s="24">
        <v>2500</v>
      </c>
      <c r="K70" s="24">
        <f t="shared" si="10"/>
        <v>12500</v>
      </c>
      <c r="L70" s="24">
        <f t="shared" si="11"/>
        <v>2808</v>
      </c>
      <c r="M70" s="16">
        <f t="shared" si="12"/>
        <v>14040</v>
      </c>
      <c r="N70" s="29">
        <f t="shared" si="5"/>
        <v>0.1</v>
      </c>
    </row>
    <row r="71" spans="1:14" ht="13.15" customHeight="1">
      <c r="A71" s="14" t="s">
        <v>70</v>
      </c>
      <c r="B71" s="14" t="s">
        <v>79</v>
      </c>
      <c r="C71" s="15" t="s">
        <v>26</v>
      </c>
      <c r="D71" s="1" t="s">
        <v>4</v>
      </c>
      <c r="E71" s="26">
        <v>21</v>
      </c>
      <c r="F71" s="27"/>
      <c r="G71" s="28"/>
      <c r="H71" s="28"/>
      <c r="I71" s="28"/>
      <c r="J71" s="28"/>
      <c r="K71" s="28"/>
      <c r="L71" s="28"/>
      <c r="M71" s="28"/>
      <c r="N71" s="29">
        <f t="shared" ref="N71:N134" si="13">+N70</f>
        <v>0.1</v>
      </c>
    </row>
    <row r="72" spans="1:14">
      <c r="A72" s="14" t="s">
        <v>71</v>
      </c>
      <c r="B72" s="14" t="s">
        <v>80</v>
      </c>
      <c r="C72" s="15" t="s">
        <v>0</v>
      </c>
      <c r="D72" s="1" t="s">
        <v>4</v>
      </c>
      <c r="E72" s="26">
        <v>21</v>
      </c>
      <c r="F72" s="24">
        <v>3120</v>
      </c>
      <c r="G72" s="16">
        <f>F72*E72</f>
        <v>65520</v>
      </c>
      <c r="H72" s="28"/>
      <c r="I72" s="28"/>
      <c r="J72" s="24">
        <v>2500</v>
      </c>
      <c r="K72" s="24">
        <f t="shared" si="10"/>
        <v>52500</v>
      </c>
      <c r="L72" s="24">
        <f t="shared" si="11"/>
        <v>2808</v>
      </c>
      <c r="M72" s="16">
        <f t="shared" si="12"/>
        <v>58968</v>
      </c>
      <c r="N72" s="29">
        <f t="shared" si="13"/>
        <v>0.1</v>
      </c>
    </row>
    <row r="73" spans="1:14">
      <c r="A73" s="13" t="s">
        <v>157</v>
      </c>
      <c r="B73" s="14" t="s">
        <v>218</v>
      </c>
      <c r="C73" s="15" t="s">
        <v>26</v>
      </c>
      <c r="D73" s="1" t="s">
        <v>4</v>
      </c>
      <c r="E73" s="26">
        <v>6</v>
      </c>
      <c r="F73" s="27"/>
      <c r="G73" s="28"/>
      <c r="H73" s="28"/>
      <c r="I73" s="28"/>
      <c r="J73" s="28"/>
      <c r="K73" s="28"/>
      <c r="L73" s="28"/>
      <c r="M73" s="28"/>
      <c r="N73" s="29">
        <f t="shared" si="13"/>
        <v>0.1</v>
      </c>
    </row>
    <row r="74" spans="1:14">
      <c r="A74" s="13" t="s">
        <v>158</v>
      </c>
      <c r="B74" s="14" t="s">
        <v>219</v>
      </c>
      <c r="C74" s="15" t="s">
        <v>0</v>
      </c>
      <c r="D74" s="1" t="s">
        <v>4</v>
      </c>
      <c r="E74" s="26">
        <v>6</v>
      </c>
      <c r="F74" s="24">
        <v>93761.58</v>
      </c>
      <c r="G74" s="16">
        <f>F74*E74</f>
        <v>562569.48</v>
      </c>
      <c r="H74" s="28"/>
      <c r="I74" s="28"/>
      <c r="J74" s="24">
        <v>90000</v>
      </c>
      <c r="K74" s="24">
        <f t="shared" si="10"/>
        <v>540000</v>
      </c>
      <c r="L74" s="24">
        <f t="shared" si="11"/>
        <v>84385.422000000006</v>
      </c>
      <c r="M74" s="16">
        <f t="shared" si="12"/>
        <v>506312.53200000001</v>
      </c>
      <c r="N74" s="29">
        <f t="shared" si="13"/>
        <v>0.1</v>
      </c>
    </row>
    <row r="75" spans="1:14" customFormat="1">
      <c r="A75" s="14" t="s">
        <v>266</v>
      </c>
      <c r="B75" s="14" t="s">
        <v>267</v>
      </c>
      <c r="C75" s="15" t="s">
        <v>0</v>
      </c>
      <c r="D75" s="1" t="s">
        <v>4</v>
      </c>
      <c r="E75" s="26">
        <v>4</v>
      </c>
      <c r="F75" s="24">
        <v>2845.33</v>
      </c>
      <c r="G75" s="16">
        <f>F75*E75</f>
        <v>11381.32</v>
      </c>
      <c r="H75" s="28"/>
      <c r="I75" s="28"/>
      <c r="J75" s="24">
        <v>1500</v>
      </c>
      <c r="K75" s="24">
        <f t="shared" si="10"/>
        <v>6000</v>
      </c>
      <c r="L75" s="24">
        <f t="shared" si="11"/>
        <v>2560.797</v>
      </c>
      <c r="M75" s="16">
        <f t="shared" si="12"/>
        <v>10243.188</v>
      </c>
      <c r="N75" s="29">
        <f t="shared" si="13"/>
        <v>0.1</v>
      </c>
    </row>
    <row r="76" spans="1:14">
      <c r="A76" s="14" t="s">
        <v>268</v>
      </c>
      <c r="B76" s="14" t="s">
        <v>269</v>
      </c>
      <c r="C76" s="15" t="s">
        <v>0</v>
      </c>
      <c r="D76" s="1" t="s">
        <v>4</v>
      </c>
      <c r="E76" s="26">
        <v>5</v>
      </c>
      <c r="F76" s="24">
        <v>2845.33</v>
      </c>
      <c r="G76" s="16">
        <f>F76*E76</f>
        <v>14226.65</v>
      </c>
      <c r="H76" s="28"/>
      <c r="I76" s="28"/>
      <c r="J76" s="24">
        <v>1500</v>
      </c>
      <c r="K76" s="24">
        <f t="shared" si="10"/>
        <v>7500</v>
      </c>
      <c r="L76" s="24">
        <f t="shared" si="11"/>
        <v>2560.797</v>
      </c>
      <c r="M76" s="16">
        <f t="shared" si="12"/>
        <v>12803.985000000001</v>
      </c>
      <c r="N76" s="29">
        <f t="shared" si="13"/>
        <v>0.1</v>
      </c>
    </row>
    <row r="77" spans="1:14">
      <c r="A77" s="14" t="s">
        <v>116</v>
      </c>
      <c r="B77" s="14" t="s">
        <v>118</v>
      </c>
      <c r="C77" s="15" t="s">
        <v>26</v>
      </c>
      <c r="D77" s="1" t="s">
        <v>4</v>
      </c>
      <c r="E77" s="26">
        <v>5</v>
      </c>
      <c r="F77" s="27"/>
      <c r="G77" s="28"/>
      <c r="H77" s="28"/>
      <c r="I77" s="28"/>
      <c r="J77" s="28"/>
      <c r="K77" s="28"/>
      <c r="L77" s="28"/>
      <c r="M77" s="28"/>
      <c r="N77" s="29">
        <f t="shared" si="13"/>
        <v>0.1</v>
      </c>
    </row>
    <row r="78" spans="1:14">
      <c r="A78" s="14" t="s">
        <v>117</v>
      </c>
      <c r="B78" s="14" t="s">
        <v>119</v>
      </c>
      <c r="C78" s="15" t="s">
        <v>0</v>
      </c>
      <c r="D78" s="1" t="s">
        <v>4</v>
      </c>
      <c r="E78" s="26">
        <v>5</v>
      </c>
      <c r="F78" s="24">
        <v>19203.62</v>
      </c>
      <c r="G78" s="16">
        <f>F78*E78</f>
        <v>96018.099999999991</v>
      </c>
      <c r="H78" s="28"/>
      <c r="I78" s="28"/>
      <c r="J78" s="24">
        <v>10000</v>
      </c>
      <c r="K78" s="24">
        <f t="shared" si="10"/>
        <v>50000</v>
      </c>
      <c r="L78" s="24">
        <f t="shared" si="11"/>
        <v>17283.257999999998</v>
      </c>
      <c r="M78" s="16">
        <f t="shared" si="12"/>
        <v>86416.29</v>
      </c>
      <c r="N78" s="29">
        <f t="shared" si="13"/>
        <v>0.1</v>
      </c>
    </row>
    <row r="79" spans="1:14">
      <c r="A79" s="14" t="s">
        <v>246</v>
      </c>
      <c r="B79" s="14" t="s">
        <v>256</v>
      </c>
      <c r="C79" s="15" t="s">
        <v>0</v>
      </c>
      <c r="D79" s="1" t="s">
        <v>4</v>
      </c>
      <c r="E79" s="26">
        <v>3</v>
      </c>
      <c r="F79" s="24">
        <v>2845.33</v>
      </c>
      <c r="G79" s="16">
        <f>F79*E79</f>
        <v>8535.99</v>
      </c>
      <c r="H79" s="28"/>
      <c r="I79" s="28"/>
      <c r="J79" s="24">
        <v>1500</v>
      </c>
      <c r="K79" s="24">
        <f t="shared" si="10"/>
        <v>4500</v>
      </c>
      <c r="L79" s="24">
        <f t="shared" si="11"/>
        <v>2560.797</v>
      </c>
      <c r="M79" s="16">
        <f t="shared" si="12"/>
        <v>7682.3909999999996</v>
      </c>
      <c r="N79" s="29">
        <f t="shared" si="13"/>
        <v>0.1</v>
      </c>
    </row>
    <row r="80" spans="1:14">
      <c r="A80" s="14" t="s">
        <v>96</v>
      </c>
      <c r="B80" s="14" t="s">
        <v>110</v>
      </c>
      <c r="C80" s="15" t="s">
        <v>26</v>
      </c>
      <c r="D80" s="1" t="s">
        <v>4</v>
      </c>
      <c r="E80" s="26">
        <v>6</v>
      </c>
      <c r="F80" s="27"/>
      <c r="G80" s="28"/>
      <c r="H80" s="28"/>
      <c r="I80" s="28"/>
      <c r="J80" s="28"/>
      <c r="K80" s="28"/>
      <c r="L80" s="28"/>
      <c r="M80" s="28"/>
      <c r="N80" s="29">
        <f t="shared" si="13"/>
        <v>0.1</v>
      </c>
    </row>
    <row r="81" spans="1:14">
      <c r="A81" s="14" t="s">
        <v>97</v>
      </c>
      <c r="B81" s="14" t="s">
        <v>111</v>
      </c>
      <c r="C81" s="15" t="s">
        <v>0</v>
      </c>
      <c r="D81" s="1" t="s">
        <v>4</v>
      </c>
      <c r="E81" s="26">
        <v>6</v>
      </c>
      <c r="F81" s="24">
        <v>19219.95</v>
      </c>
      <c r="G81" s="16">
        <f>F81*E81</f>
        <v>115319.70000000001</v>
      </c>
      <c r="H81" s="28"/>
      <c r="I81" s="28"/>
      <c r="J81" s="24">
        <v>10000</v>
      </c>
      <c r="K81" s="24">
        <f t="shared" si="10"/>
        <v>60000</v>
      </c>
      <c r="L81" s="24">
        <f t="shared" si="11"/>
        <v>17297.955000000002</v>
      </c>
      <c r="M81" s="16">
        <f t="shared" si="12"/>
        <v>103787.73000000001</v>
      </c>
      <c r="N81" s="29">
        <f t="shared" si="13"/>
        <v>0.1</v>
      </c>
    </row>
    <row r="82" spans="1:14">
      <c r="A82" s="14" t="s">
        <v>247</v>
      </c>
      <c r="B82" s="14" t="s">
        <v>257</v>
      </c>
      <c r="C82" s="15" t="s">
        <v>26</v>
      </c>
      <c r="D82" s="1" t="s">
        <v>4</v>
      </c>
      <c r="E82" s="26">
        <v>3</v>
      </c>
      <c r="F82" s="27"/>
      <c r="G82" s="28"/>
      <c r="H82" s="28"/>
      <c r="I82" s="28"/>
      <c r="J82" s="28"/>
      <c r="K82" s="28"/>
      <c r="L82" s="28"/>
      <c r="M82" s="28"/>
      <c r="N82" s="29">
        <f t="shared" si="13"/>
        <v>0.1</v>
      </c>
    </row>
    <row r="83" spans="1:14">
      <c r="A83" s="14" t="s">
        <v>248</v>
      </c>
      <c r="B83" s="14" t="s">
        <v>258</v>
      </c>
      <c r="C83" s="15" t="s">
        <v>0</v>
      </c>
      <c r="D83" s="1" t="s">
        <v>4</v>
      </c>
      <c r="E83" s="26">
        <v>3</v>
      </c>
      <c r="F83" s="24">
        <v>21607.599999999999</v>
      </c>
      <c r="G83" s="16">
        <f>F83*E83</f>
        <v>64822.799999999996</v>
      </c>
      <c r="H83" s="28"/>
      <c r="I83" s="28"/>
      <c r="J83" s="24">
        <v>12500</v>
      </c>
      <c r="K83" s="24">
        <f t="shared" si="10"/>
        <v>37500</v>
      </c>
      <c r="L83" s="24">
        <f t="shared" si="11"/>
        <v>19446.84</v>
      </c>
      <c r="M83" s="16">
        <f t="shared" si="12"/>
        <v>58340.520000000004</v>
      </c>
      <c r="N83" s="29">
        <f t="shared" si="13"/>
        <v>0.1</v>
      </c>
    </row>
    <row r="84" spans="1:14">
      <c r="A84" s="14" t="s">
        <v>98</v>
      </c>
      <c r="B84" s="14" t="s">
        <v>112</v>
      </c>
      <c r="C84" s="15" t="s">
        <v>26</v>
      </c>
      <c r="D84" s="1" t="s">
        <v>4</v>
      </c>
      <c r="E84" s="26">
        <v>191</v>
      </c>
      <c r="F84" s="27"/>
      <c r="G84" s="28"/>
      <c r="H84" s="28"/>
      <c r="I84" s="28"/>
      <c r="J84" s="28"/>
      <c r="K84" s="28"/>
      <c r="L84" s="28"/>
      <c r="M84" s="28"/>
      <c r="N84" s="29">
        <f t="shared" si="13"/>
        <v>0.1</v>
      </c>
    </row>
    <row r="85" spans="1:14">
      <c r="A85" s="14" t="s">
        <v>99</v>
      </c>
      <c r="B85" s="14" t="s">
        <v>113</v>
      </c>
      <c r="C85" s="15" t="s">
        <v>0</v>
      </c>
      <c r="D85" s="1" t="s">
        <v>4</v>
      </c>
      <c r="E85" s="26">
        <v>191</v>
      </c>
      <c r="F85" s="24">
        <v>282.14</v>
      </c>
      <c r="G85" s="16">
        <f t="shared" ref="G85:G96" si="14">F85*E85</f>
        <v>53888.74</v>
      </c>
      <c r="H85" s="28"/>
      <c r="I85" s="28"/>
      <c r="J85" s="24">
        <v>150</v>
      </c>
      <c r="K85" s="24">
        <f t="shared" si="10"/>
        <v>28650</v>
      </c>
      <c r="L85" s="24">
        <f t="shared" si="11"/>
        <v>253.92599999999999</v>
      </c>
      <c r="M85" s="16">
        <f t="shared" si="12"/>
        <v>48499.865999999995</v>
      </c>
      <c r="N85" s="29">
        <f t="shared" si="13"/>
        <v>0.1</v>
      </c>
    </row>
    <row r="86" spans="1:14">
      <c r="A86" s="14" t="s">
        <v>10</v>
      </c>
      <c r="B86" s="14" t="s">
        <v>11</v>
      </c>
      <c r="C86" s="15" t="s">
        <v>0</v>
      </c>
      <c r="D86" s="1" t="s">
        <v>4</v>
      </c>
      <c r="E86" s="26">
        <v>3291</v>
      </c>
      <c r="F86" s="24">
        <v>0</v>
      </c>
      <c r="G86" s="16">
        <f t="shared" si="14"/>
        <v>0</v>
      </c>
      <c r="H86" s="24">
        <v>20</v>
      </c>
      <c r="I86" s="16">
        <f t="shared" ref="I86:I128" si="15">+H86*E86</f>
        <v>65820</v>
      </c>
      <c r="J86" s="28"/>
      <c r="K86" s="28"/>
      <c r="L86" s="28"/>
      <c r="M86" s="28"/>
      <c r="N86" s="29">
        <f t="shared" si="13"/>
        <v>0.1</v>
      </c>
    </row>
    <row r="87" spans="1:14">
      <c r="A87" s="14" t="s">
        <v>8</v>
      </c>
      <c r="B87" s="14" t="s">
        <v>9</v>
      </c>
      <c r="C87" s="15" t="s">
        <v>0</v>
      </c>
      <c r="D87" s="1" t="s">
        <v>4</v>
      </c>
      <c r="E87" s="26">
        <v>3291</v>
      </c>
      <c r="F87" s="24">
        <v>0</v>
      </c>
      <c r="G87" s="16">
        <f t="shared" si="14"/>
        <v>0</v>
      </c>
      <c r="H87" s="28"/>
      <c r="I87" s="28"/>
      <c r="J87" s="28"/>
      <c r="K87" s="28"/>
      <c r="L87" s="28"/>
      <c r="M87" s="28"/>
      <c r="N87" s="29">
        <f t="shared" si="13"/>
        <v>0.1</v>
      </c>
    </row>
    <row r="88" spans="1:14">
      <c r="A88" s="14" t="s">
        <v>40</v>
      </c>
      <c r="B88" s="14" t="s">
        <v>45</v>
      </c>
      <c r="C88" s="15" t="s">
        <v>0</v>
      </c>
      <c r="D88" s="1" t="s">
        <v>5</v>
      </c>
      <c r="E88" s="26">
        <v>10029</v>
      </c>
      <c r="F88" s="24">
        <v>0</v>
      </c>
      <c r="G88" s="16">
        <f t="shared" si="14"/>
        <v>0</v>
      </c>
      <c r="H88" s="24">
        <v>75</v>
      </c>
      <c r="I88" s="16">
        <f t="shared" si="15"/>
        <v>752175</v>
      </c>
      <c r="J88" s="28"/>
      <c r="K88" s="28"/>
      <c r="L88" s="28"/>
      <c r="M88" s="28"/>
      <c r="N88" s="29">
        <f t="shared" si="13"/>
        <v>0.1</v>
      </c>
    </row>
    <row r="89" spans="1:14">
      <c r="A89" s="14" t="s">
        <v>41</v>
      </c>
      <c r="B89" s="14" t="s">
        <v>46</v>
      </c>
      <c r="C89" s="15" t="s">
        <v>0</v>
      </c>
      <c r="D89" s="1" t="s">
        <v>5</v>
      </c>
      <c r="E89" s="26">
        <v>10029</v>
      </c>
      <c r="F89" s="24">
        <v>0</v>
      </c>
      <c r="G89" s="16">
        <f t="shared" si="14"/>
        <v>0</v>
      </c>
      <c r="H89" s="28"/>
      <c r="I89" s="28"/>
      <c r="J89" s="28"/>
      <c r="K89" s="28"/>
      <c r="L89" s="28"/>
      <c r="M89" s="28"/>
      <c r="N89" s="29">
        <f t="shared" si="13"/>
        <v>0.1</v>
      </c>
    </row>
    <row r="90" spans="1:14">
      <c r="A90" s="14" t="s">
        <v>27</v>
      </c>
      <c r="B90" s="14" t="s">
        <v>29</v>
      </c>
      <c r="C90" s="15" t="s">
        <v>0</v>
      </c>
      <c r="D90" s="1" t="s">
        <v>5</v>
      </c>
      <c r="E90" s="26">
        <v>7269</v>
      </c>
      <c r="F90" s="24">
        <v>0</v>
      </c>
      <c r="G90" s="16">
        <f t="shared" si="14"/>
        <v>0</v>
      </c>
      <c r="H90" s="24">
        <v>55</v>
      </c>
      <c r="I90" s="16">
        <f t="shared" si="15"/>
        <v>399795</v>
      </c>
      <c r="J90" s="28"/>
      <c r="K90" s="28"/>
      <c r="L90" s="28"/>
      <c r="M90" s="28"/>
      <c r="N90" s="29">
        <f t="shared" si="13"/>
        <v>0.1</v>
      </c>
    </row>
    <row r="91" spans="1:14">
      <c r="A91" s="14" t="s">
        <v>28</v>
      </c>
      <c r="B91" s="14" t="s">
        <v>30</v>
      </c>
      <c r="C91" s="15" t="s">
        <v>0</v>
      </c>
      <c r="D91" s="1" t="s">
        <v>5</v>
      </c>
      <c r="E91" s="26">
        <v>7269</v>
      </c>
      <c r="F91" s="24">
        <v>0</v>
      </c>
      <c r="G91" s="16">
        <f t="shared" si="14"/>
        <v>0</v>
      </c>
      <c r="H91" s="28"/>
      <c r="I91" s="28"/>
      <c r="J91" s="28"/>
      <c r="K91" s="28"/>
      <c r="L91" s="28"/>
      <c r="M91" s="28"/>
      <c r="N91" s="29">
        <f t="shared" si="13"/>
        <v>0.1</v>
      </c>
    </row>
    <row r="92" spans="1:14">
      <c r="A92" s="14" t="s">
        <v>1</v>
      </c>
      <c r="B92" s="14" t="s">
        <v>7</v>
      </c>
      <c r="C92" s="15" t="s">
        <v>0</v>
      </c>
      <c r="D92" s="1" t="s">
        <v>4</v>
      </c>
      <c r="E92" s="26">
        <v>1821</v>
      </c>
      <c r="F92" s="24">
        <v>0</v>
      </c>
      <c r="G92" s="16">
        <f t="shared" si="14"/>
        <v>0</v>
      </c>
      <c r="H92" s="24">
        <v>600</v>
      </c>
      <c r="I92" s="16">
        <f t="shared" si="15"/>
        <v>1092600</v>
      </c>
      <c r="J92" s="28"/>
      <c r="K92" s="28"/>
      <c r="L92" s="28"/>
      <c r="M92" s="28"/>
      <c r="N92" s="29">
        <f t="shared" si="13"/>
        <v>0.1</v>
      </c>
    </row>
    <row r="93" spans="1:14">
      <c r="A93" s="14" t="s">
        <v>2</v>
      </c>
      <c r="B93" s="14" t="s">
        <v>6</v>
      </c>
      <c r="C93" s="15" t="s">
        <v>0</v>
      </c>
      <c r="D93" s="1" t="s">
        <v>4</v>
      </c>
      <c r="E93" s="26">
        <v>1821</v>
      </c>
      <c r="F93" s="24">
        <v>0</v>
      </c>
      <c r="G93" s="16">
        <f t="shared" si="14"/>
        <v>0</v>
      </c>
      <c r="H93" s="28"/>
      <c r="I93" s="28"/>
      <c r="J93" s="28"/>
      <c r="K93" s="28"/>
      <c r="L93" s="28"/>
      <c r="M93" s="28"/>
      <c r="N93" s="29">
        <f t="shared" si="13"/>
        <v>0.1</v>
      </c>
    </row>
    <row r="94" spans="1:14">
      <c r="A94" s="14" t="s">
        <v>270</v>
      </c>
      <c r="B94" s="14" t="s">
        <v>271</v>
      </c>
      <c r="C94" s="15" t="s">
        <v>0</v>
      </c>
      <c r="D94" s="1" t="s">
        <v>4</v>
      </c>
      <c r="E94" s="26">
        <v>3</v>
      </c>
      <c r="F94" s="24">
        <v>17808.89</v>
      </c>
      <c r="G94" s="16">
        <f t="shared" si="14"/>
        <v>53426.67</v>
      </c>
      <c r="H94" s="28"/>
      <c r="I94" s="28"/>
      <c r="J94" s="24">
        <v>10000</v>
      </c>
      <c r="K94" s="24">
        <f t="shared" si="10"/>
        <v>30000</v>
      </c>
      <c r="L94" s="24">
        <f t="shared" si="11"/>
        <v>16028.001</v>
      </c>
      <c r="M94" s="16">
        <f t="shared" si="12"/>
        <v>48084.002999999997</v>
      </c>
      <c r="N94" s="29">
        <f t="shared" si="13"/>
        <v>0.1</v>
      </c>
    </row>
    <row r="95" spans="1:14">
      <c r="A95" s="14" t="s">
        <v>272</v>
      </c>
      <c r="B95" s="14" t="s">
        <v>273</v>
      </c>
      <c r="C95" s="15" t="s">
        <v>0</v>
      </c>
      <c r="D95" s="1" t="s">
        <v>4</v>
      </c>
      <c r="E95" s="26">
        <v>2</v>
      </c>
      <c r="F95" s="24">
        <v>23705.99</v>
      </c>
      <c r="G95" s="16">
        <f t="shared" si="14"/>
        <v>47411.98</v>
      </c>
      <c r="H95" s="28"/>
      <c r="I95" s="28"/>
      <c r="J95" s="24">
        <v>10000</v>
      </c>
      <c r="K95" s="24">
        <f t="shared" si="10"/>
        <v>20000</v>
      </c>
      <c r="L95" s="24">
        <f t="shared" si="11"/>
        <v>21335.391000000003</v>
      </c>
      <c r="M95" s="16">
        <f t="shared" si="12"/>
        <v>42670.782000000007</v>
      </c>
      <c r="N95" s="29">
        <f t="shared" si="13"/>
        <v>0.1</v>
      </c>
    </row>
    <row r="96" spans="1:14">
      <c r="A96" s="14" t="s">
        <v>249</v>
      </c>
      <c r="B96" s="14" t="s">
        <v>259</v>
      </c>
      <c r="C96" s="15" t="s">
        <v>0</v>
      </c>
      <c r="D96" s="1" t="s">
        <v>4</v>
      </c>
      <c r="E96" s="26">
        <v>14</v>
      </c>
      <c r="F96" s="24">
        <v>20703.52</v>
      </c>
      <c r="G96" s="16">
        <f t="shared" si="14"/>
        <v>289849.28000000003</v>
      </c>
      <c r="H96" s="28"/>
      <c r="I96" s="28"/>
      <c r="J96" s="24">
        <v>10000</v>
      </c>
      <c r="K96" s="24">
        <f t="shared" si="10"/>
        <v>140000</v>
      </c>
      <c r="L96" s="24">
        <f t="shared" si="11"/>
        <v>18633.168000000001</v>
      </c>
      <c r="M96" s="16">
        <f t="shared" si="12"/>
        <v>260864.35200000001</v>
      </c>
      <c r="N96" s="29">
        <f t="shared" si="13"/>
        <v>0.1</v>
      </c>
    </row>
    <row r="97" spans="1:14">
      <c r="A97" s="14" t="s">
        <v>100</v>
      </c>
      <c r="B97" s="14" t="s">
        <v>114</v>
      </c>
      <c r="C97" s="15" t="s">
        <v>26</v>
      </c>
      <c r="D97" s="1" t="s">
        <v>4</v>
      </c>
      <c r="E97" s="26">
        <v>31</v>
      </c>
      <c r="F97" s="27"/>
      <c r="G97" s="28"/>
      <c r="H97" s="28"/>
      <c r="I97" s="28"/>
      <c r="J97" s="28"/>
      <c r="K97" s="28"/>
      <c r="L97" s="28"/>
      <c r="M97" s="28"/>
      <c r="N97" s="29">
        <f t="shared" si="13"/>
        <v>0.1</v>
      </c>
    </row>
    <row r="98" spans="1:14">
      <c r="A98" s="14" t="s">
        <v>101</v>
      </c>
      <c r="B98" s="14" t="s">
        <v>115</v>
      </c>
      <c r="C98" s="15" t="s">
        <v>0</v>
      </c>
      <c r="D98" s="1" t="s">
        <v>4</v>
      </c>
      <c r="E98" s="26">
        <v>31</v>
      </c>
      <c r="F98" s="24">
        <v>40622.080000000002</v>
      </c>
      <c r="G98" s="16">
        <f>F98*E98</f>
        <v>1259284.48</v>
      </c>
      <c r="H98" s="28"/>
      <c r="I98" s="28"/>
      <c r="J98" s="24">
        <v>15000</v>
      </c>
      <c r="K98" s="24">
        <f t="shared" si="10"/>
        <v>465000</v>
      </c>
      <c r="L98" s="24">
        <f t="shared" si="11"/>
        <v>36559.872000000003</v>
      </c>
      <c r="M98" s="16">
        <f t="shared" si="12"/>
        <v>1133356.0320000001</v>
      </c>
      <c r="N98" s="29">
        <f t="shared" si="13"/>
        <v>0.1</v>
      </c>
    </row>
    <row r="99" spans="1:14">
      <c r="A99" s="14" t="s">
        <v>250</v>
      </c>
      <c r="B99" s="14" t="s">
        <v>260</v>
      </c>
      <c r="C99" s="15" t="s">
        <v>0</v>
      </c>
      <c r="D99" s="1" t="s">
        <v>4</v>
      </c>
      <c r="E99" s="26">
        <v>5</v>
      </c>
      <c r="F99" s="24">
        <v>24072.25</v>
      </c>
      <c r="G99" s="16">
        <f>F99*E99</f>
        <v>120361.25</v>
      </c>
      <c r="H99" s="28"/>
      <c r="I99" s="28"/>
      <c r="J99" s="24">
        <v>10000</v>
      </c>
      <c r="K99" s="24">
        <f t="shared" si="10"/>
        <v>50000</v>
      </c>
      <c r="L99" s="24">
        <f t="shared" si="11"/>
        <v>21665.025000000001</v>
      </c>
      <c r="M99" s="16">
        <f t="shared" si="12"/>
        <v>108325.125</v>
      </c>
      <c r="N99" s="29">
        <f t="shared" si="13"/>
        <v>0.1</v>
      </c>
    </row>
    <row r="100" spans="1:14">
      <c r="A100" s="14" t="s">
        <v>251</v>
      </c>
      <c r="B100" s="14" t="s">
        <v>261</v>
      </c>
      <c r="C100" s="15" t="s">
        <v>26</v>
      </c>
      <c r="D100" s="1" t="s">
        <v>4</v>
      </c>
      <c r="E100" s="26">
        <v>5</v>
      </c>
      <c r="F100" s="27"/>
      <c r="G100" s="28"/>
      <c r="H100" s="28"/>
      <c r="I100" s="28"/>
      <c r="J100" s="28"/>
      <c r="K100" s="28"/>
      <c r="L100" s="28"/>
      <c r="M100" s="28"/>
      <c r="N100" s="29">
        <f t="shared" si="13"/>
        <v>0.1</v>
      </c>
    </row>
    <row r="101" spans="1:14">
      <c r="A101" s="14" t="s">
        <v>252</v>
      </c>
      <c r="B101" s="14" t="s">
        <v>262</v>
      </c>
      <c r="C101" s="15" t="s">
        <v>0</v>
      </c>
      <c r="D101" s="1" t="s">
        <v>4</v>
      </c>
      <c r="E101" s="26">
        <v>5</v>
      </c>
      <c r="F101" s="24">
        <v>52134.95</v>
      </c>
      <c r="G101" s="16">
        <f>F101*E101</f>
        <v>260674.75</v>
      </c>
      <c r="H101" s="28"/>
      <c r="I101" s="28"/>
      <c r="J101" s="24">
        <v>15000</v>
      </c>
      <c r="K101" s="24">
        <f t="shared" si="10"/>
        <v>75000</v>
      </c>
      <c r="L101" s="24">
        <f t="shared" si="11"/>
        <v>46921.454999999994</v>
      </c>
      <c r="M101" s="16">
        <f t="shared" si="12"/>
        <v>234607.27499999997</v>
      </c>
      <c r="N101" s="29">
        <f t="shared" si="13"/>
        <v>0.1</v>
      </c>
    </row>
    <row r="102" spans="1:14">
      <c r="A102" s="14" t="s">
        <v>159</v>
      </c>
      <c r="B102" s="14" t="s">
        <v>220</v>
      </c>
      <c r="C102" s="15" t="s">
        <v>26</v>
      </c>
      <c r="D102" s="1" t="s">
        <v>5</v>
      </c>
      <c r="E102" s="26">
        <v>28176</v>
      </c>
      <c r="F102" s="27"/>
      <c r="G102" s="28"/>
      <c r="H102" s="28"/>
      <c r="I102" s="28"/>
      <c r="J102" s="28"/>
      <c r="K102" s="28"/>
      <c r="L102" s="28"/>
      <c r="M102" s="28"/>
      <c r="N102" s="29">
        <f t="shared" si="13"/>
        <v>0.1</v>
      </c>
    </row>
    <row r="103" spans="1:14">
      <c r="A103" s="14" t="s">
        <v>160</v>
      </c>
      <c r="B103" s="14" t="s">
        <v>221</v>
      </c>
      <c r="C103" s="15" t="s">
        <v>0</v>
      </c>
      <c r="D103" s="1" t="s">
        <v>5</v>
      </c>
      <c r="E103" s="26">
        <v>28176</v>
      </c>
      <c r="F103" s="24">
        <v>84.25</v>
      </c>
      <c r="G103" s="16">
        <f>F103*E103</f>
        <v>2373828</v>
      </c>
      <c r="H103" s="28"/>
      <c r="I103" s="28"/>
      <c r="J103" s="24">
        <v>50</v>
      </c>
      <c r="K103" s="24">
        <f t="shared" si="10"/>
        <v>1408800</v>
      </c>
      <c r="L103" s="24">
        <f t="shared" si="11"/>
        <v>75.825000000000003</v>
      </c>
      <c r="M103" s="16">
        <f t="shared" si="12"/>
        <v>2136445.2000000002</v>
      </c>
      <c r="N103" s="29">
        <f t="shared" si="13"/>
        <v>0.1</v>
      </c>
    </row>
    <row r="104" spans="1:14">
      <c r="A104" s="14" t="s">
        <v>161</v>
      </c>
      <c r="B104" s="14" t="s">
        <v>222</v>
      </c>
      <c r="C104" s="15" t="s">
        <v>0</v>
      </c>
      <c r="D104" s="1" t="s">
        <v>5</v>
      </c>
      <c r="E104" s="26">
        <v>9869</v>
      </c>
      <c r="F104" s="24">
        <v>53.49</v>
      </c>
      <c r="G104" s="16">
        <f>F104*E104</f>
        <v>527892.81000000006</v>
      </c>
      <c r="H104" s="28"/>
      <c r="I104" s="28"/>
      <c r="J104" s="24">
        <v>25</v>
      </c>
      <c r="K104" s="24">
        <f t="shared" si="10"/>
        <v>246725</v>
      </c>
      <c r="L104" s="24">
        <f t="shared" si="11"/>
        <v>48.141000000000005</v>
      </c>
      <c r="M104" s="16">
        <f t="shared" si="12"/>
        <v>475103.52900000004</v>
      </c>
      <c r="N104" s="29">
        <f t="shared" si="13"/>
        <v>0.1</v>
      </c>
    </row>
    <row r="105" spans="1:14">
      <c r="A105" s="14" t="s">
        <v>162</v>
      </c>
      <c r="B105" s="14" t="s">
        <v>223</v>
      </c>
      <c r="C105" s="15" t="s">
        <v>26</v>
      </c>
      <c r="D105" s="1" t="s">
        <v>5</v>
      </c>
      <c r="E105" s="26">
        <v>2219</v>
      </c>
      <c r="F105" s="27"/>
      <c r="G105" s="28"/>
      <c r="H105" s="28"/>
      <c r="I105" s="28"/>
      <c r="J105" s="28"/>
      <c r="K105" s="28"/>
      <c r="L105" s="28"/>
      <c r="M105" s="28"/>
      <c r="N105" s="29">
        <f t="shared" si="13"/>
        <v>0.1</v>
      </c>
    </row>
    <row r="106" spans="1:14">
      <c r="A106" s="14" t="s">
        <v>163</v>
      </c>
      <c r="B106" s="14" t="s">
        <v>224</v>
      </c>
      <c r="C106" s="15" t="s">
        <v>0</v>
      </c>
      <c r="D106" s="1" t="s">
        <v>5</v>
      </c>
      <c r="E106" s="26">
        <v>2219</v>
      </c>
      <c r="F106" s="24">
        <v>90.75</v>
      </c>
      <c r="G106" s="16">
        <f>F106*E106</f>
        <v>201374.25</v>
      </c>
      <c r="H106" s="28"/>
      <c r="I106" s="28"/>
      <c r="J106" s="24">
        <v>50</v>
      </c>
      <c r="K106" s="24">
        <f t="shared" si="10"/>
        <v>110950</v>
      </c>
      <c r="L106" s="24">
        <f t="shared" si="11"/>
        <v>81.674999999999997</v>
      </c>
      <c r="M106" s="16">
        <f t="shared" si="12"/>
        <v>181236.82499999998</v>
      </c>
      <c r="N106" s="29">
        <f t="shared" si="13"/>
        <v>0.1</v>
      </c>
    </row>
    <row r="107" spans="1:14">
      <c r="A107" s="14" t="s">
        <v>36</v>
      </c>
      <c r="B107" s="14" t="s">
        <v>38</v>
      </c>
      <c r="C107" s="15" t="s">
        <v>26</v>
      </c>
      <c r="D107" s="1" t="s">
        <v>5</v>
      </c>
      <c r="E107" s="26">
        <v>447</v>
      </c>
      <c r="F107" s="27"/>
      <c r="G107" s="28"/>
      <c r="H107" s="28"/>
      <c r="I107" s="28"/>
      <c r="J107" s="28"/>
      <c r="K107" s="28"/>
      <c r="L107" s="28"/>
      <c r="M107" s="28"/>
      <c r="N107" s="29">
        <f t="shared" si="13"/>
        <v>0.1</v>
      </c>
    </row>
    <row r="108" spans="1:14">
      <c r="A108" s="14" t="s">
        <v>37</v>
      </c>
      <c r="B108" s="14" t="s">
        <v>39</v>
      </c>
      <c r="C108" s="15" t="s">
        <v>0</v>
      </c>
      <c r="D108" s="1" t="s">
        <v>5</v>
      </c>
      <c r="E108" s="26">
        <v>447</v>
      </c>
      <c r="F108" s="24">
        <v>70.11</v>
      </c>
      <c r="G108" s="16">
        <f>F108*E108</f>
        <v>31339.17</v>
      </c>
      <c r="H108" s="28"/>
      <c r="I108" s="28"/>
      <c r="J108" s="24">
        <v>50</v>
      </c>
      <c r="K108" s="24">
        <f t="shared" si="10"/>
        <v>22350</v>
      </c>
      <c r="L108" s="24">
        <f t="shared" si="11"/>
        <v>63.098999999999997</v>
      </c>
      <c r="M108" s="16">
        <f t="shared" si="12"/>
        <v>28205.252999999997</v>
      </c>
      <c r="N108" s="29">
        <f t="shared" si="13"/>
        <v>0.1</v>
      </c>
    </row>
    <row r="109" spans="1:14">
      <c r="A109" s="14" t="s">
        <v>72</v>
      </c>
      <c r="B109" s="14" t="s">
        <v>81</v>
      </c>
      <c r="C109" s="15" t="s">
        <v>26</v>
      </c>
      <c r="D109" s="1" t="s">
        <v>5</v>
      </c>
      <c r="E109" s="26">
        <v>335</v>
      </c>
      <c r="F109" s="27"/>
      <c r="G109" s="28"/>
      <c r="H109" s="28"/>
      <c r="I109" s="28"/>
      <c r="J109" s="28"/>
      <c r="K109" s="28"/>
      <c r="L109" s="28"/>
      <c r="M109" s="28"/>
      <c r="N109" s="29">
        <f t="shared" si="13"/>
        <v>0.1</v>
      </c>
    </row>
    <row r="110" spans="1:14">
      <c r="A110" s="14" t="s">
        <v>73</v>
      </c>
      <c r="B110" s="14" t="s">
        <v>82</v>
      </c>
      <c r="C110" s="15" t="s">
        <v>0</v>
      </c>
      <c r="D110" s="1" t="s">
        <v>5</v>
      </c>
      <c r="E110" s="26">
        <v>335</v>
      </c>
      <c r="F110" s="24">
        <v>78.709999999999994</v>
      </c>
      <c r="G110" s="16">
        <f>F110*E110</f>
        <v>26367.85</v>
      </c>
      <c r="H110" s="28"/>
      <c r="I110" s="28"/>
      <c r="J110" s="24">
        <v>50</v>
      </c>
      <c r="K110" s="24">
        <f t="shared" si="10"/>
        <v>16750</v>
      </c>
      <c r="L110" s="24">
        <f t="shared" si="11"/>
        <v>70.838999999999999</v>
      </c>
      <c r="M110" s="16">
        <f t="shared" si="12"/>
        <v>23731.064999999999</v>
      </c>
      <c r="N110" s="29">
        <f t="shared" si="13"/>
        <v>0.1</v>
      </c>
    </row>
    <row r="111" spans="1:14">
      <c r="A111" s="14" t="s">
        <v>58</v>
      </c>
      <c r="B111" s="14" t="s">
        <v>64</v>
      </c>
      <c r="C111" s="15" t="s">
        <v>26</v>
      </c>
      <c r="D111" s="1" t="s">
        <v>5</v>
      </c>
      <c r="E111" s="26">
        <v>1308</v>
      </c>
      <c r="F111" s="27"/>
      <c r="G111" s="28"/>
      <c r="H111" s="28"/>
      <c r="I111" s="28"/>
      <c r="J111" s="28"/>
      <c r="K111" s="28"/>
      <c r="L111" s="28"/>
      <c r="M111" s="28"/>
      <c r="N111" s="29">
        <f t="shared" si="13"/>
        <v>0.1</v>
      </c>
    </row>
    <row r="112" spans="1:14">
      <c r="A112" s="14" t="s">
        <v>59</v>
      </c>
      <c r="B112" s="14" t="s">
        <v>65</v>
      </c>
      <c r="C112" s="15" t="s">
        <v>0</v>
      </c>
      <c r="D112" s="1" t="s">
        <v>5</v>
      </c>
      <c r="E112" s="26">
        <v>1308</v>
      </c>
      <c r="F112" s="24">
        <v>84.63</v>
      </c>
      <c r="G112" s="16">
        <f>F112*E112</f>
        <v>110696.04</v>
      </c>
      <c r="H112" s="28"/>
      <c r="I112" s="28"/>
      <c r="J112" s="24">
        <v>50</v>
      </c>
      <c r="K112" s="24">
        <f t="shared" si="10"/>
        <v>65400</v>
      </c>
      <c r="L112" s="24">
        <f t="shared" si="11"/>
        <v>76.167000000000002</v>
      </c>
      <c r="M112" s="16">
        <f t="shared" si="12"/>
        <v>99626.436000000002</v>
      </c>
      <c r="N112" s="29">
        <f t="shared" si="13"/>
        <v>0.1</v>
      </c>
    </row>
    <row r="113" spans="1:14">
      <c r="A113" s="14" t="s">
        <v>42</v>
      </c>
      <c r="B113" s="14" t="s">
        <v>47</v>
      </c>
      <c r="C113" s="15" t="s">
        <v>26</v>
      </c>
      <c r="D113" s="1" t="s">
        <v>5</v>
      </c>
      <c r="E113" s="26">
        <v>447</v>
      </c>
      <c r="F113" s="27"/>
      <c r="G113" s="28"/>
      <c r="H113" s="28"/>
      <c r="I113" s="28"/>
      <c r="J113" s="28"/>
      <c r="K113" s="28"/>
      <c r="L113" s="28"/>
      <c r="M113" s="28"/>
      <c r="N113" s="29">
        <f t="shared" si="13"/>
        <v>0.1</v>
      </c>
    </row>
    <row r="114" spans="1:14">
      <c r="A114" s="14" t="s">
        <v>43</v>
      </c>
      <c r="B114" s="14" t="s">
        <v>48</v>
      </c>
      <c r="C114" s="15" t="s">
        <v>0</v>
      </c>
      <c r="D114" s="1" t="s">
        <v>5</v>
      </c>
      <c r="E114" s="26">
        <v>447</v>
      </c>
      <c r="F114" s="24">
        <v>94.28</v>
      </c>
      <c r="G114" s="16">
        <f>F114*E114</f>
        <v>42143.16</v>
      </c>
      <c r="H114" s="28"/>
      <c r="I114" s="28"/>
      <c r="J114" s="24">
        <v>55</v>
      </c>
      <c r="K114" s="24">
        <f t="shared" si="10"/>
        <v>24585</v>
      </c>
      <c r="L114" s="24">
        <f t="shared" si="11"/>
        <v>84.852000000000004</v>
      </c>
      <c r="M114" s="16">
        <f t="shared" si="12"/>
        <v>37928.844000000005</v>
      </c>
      <c r="N114" s="29">
        <f t="shared" si="13"/>
        <v>0.1</v>
      </c>
    </row>
    <row r="115" spans="1:14">
      <c r="A115" s="14" t="s">
        <v>164</v>
      </c>
      <c r="B115" s="14" t="s">
        <v>225</v>
      </c>
      <c r="C115" s="15" t="s">
        <v>26</v>
      </c>
      <c r="D115" s="1" t="s">
        <v>5</v>
      </c>
      <c r="E115" s="26">
        <v>1257</v>
      </c>
      <c r="F115" s="27"/>
      <c r="G115" s="28"/>
      <c r="H115" s="28"/>
      <c r="I115" s="28"/>
      <c r="J115" s="28"/>
      <c r="K115" s="28"/>
      <c r="L115" s="28"/>
      <c r="M115" s="28"/>
      <c r="N115" s="29">
        <f t="shared" si="13"/>
        <v>0.1</v>
      </c>
    </row>
    <row r="116" spans="1:14">
      <c r="A116" s="14" t="s">
        <v>165</v>
      </c>
      <c r="B116" s="14" t="s">
        <v>226</v>
      </c>
      <c r="C116" s="15" t="s">
        <v>0</v>
      </c>
      <c r="D116" s="1" t="s">
        <v>5</v>
      </c>
      <c r="E116" s="26">
        <v>1257</v>
      </c>
      <c r="F116" s="24">
        <v>81.86</v>
      </c>
      <c r="G116" s="16">
        <f t="shared" ref="G116:G129" si="16">F116*E116</f>
        <v>102898.02</v>
      </c>
      <c r="H116" s="28"/>
      <c r="I116" s="28"/>
      <c r="J116" s="24">
        <v>50</v>
      </c>
      <c r="K116" s="24">
        <f t="shared" si="10"/>
        <v>62850</v>
      </c>
      <c r="L116" s="24">
        <f t="shared" si="11"/>
        <v>73.674000000000007</v>
      </c>
      <c r="M116" s="16">
        <f t="shared" si="12"/>
        <v>92608.218000000008</v>
      </c>
      <c r="N116" s="29">
        <f t="shared" si="13"/>
        <v>0.1</v>
      </c>
    </row>
    <row r="117" spans="1:14">
      <c r="A117" s="14" t="s">
        <v>166</v>
      </c>
      <c r="B117" s="14" t="s">
        <v>227</v>
      </c>
      <c r="C117" s="15" t="s">
        <v>0</v>
      </c>
      <c r="D117" s="1" t="s">
        <v>4</v>
      </c>
      <c r="E117" s="26">
        <v>64</v>
      </c>
      <c r="F117" s="24">
        <v>124.32</v>
      </c>
      <c r="G117" s="16">
        <f t="shared" si="16"/>
        <v>7956.48</v>
      </c>
      <c r="H117" s="24">
        <v>250</v>
      </c>
      <c r="I117" s="16">
        <f t="shared" si="15"/>
        <v>16000</v>
      </c>
      <c r="J117" s="28"/>
      <c r="K117" s="28"/>
      <c r="L117" s="24">
        <f t="shared" si="11"/>
        <v>111.88799999999999</v>
      </c>
      <c r="M117" s="16">
        <f t="shared" si="12"/>
        <v>7160.8319999999994</v>
      </c>
      <c r="N117" s="29">
        <f t="shared" si="13"/>
        <v>0.1</v>
      </c>
    </row>
    <row r="118" spans="1:14">
      <c r="A118" s="14" t="s">
        <v>167</v>
      </c>
      <c r="B118" s="14" t="s">
        <v>228</v>
      </c>
      <c r="C118" s="15" t="s">
        <v>0</v>
      </c>
      <c r="D118" s="1" t="s">
        <v>4</v>
      </c>
      <c r="E118" s="26">
        <v>23</v>
      </c>
      <c r="F118" s="24">
        <v>721.62</v>
      </c>
      <c r="G118" s="16">
        <f t="shared" si="16"/>
        <v>16597.259999999998</v>
      </c>
      <c r="H118" s="28"/>
      <c r="I118" s="28"/>
      <c r="J118" s="24">
        <v>250</v>
      </c>
      <c r="K118" s="24">
        <f t="shared" si="10"/>
        <v>5750</v>
      </c>
      <c r="L118" s="24">
        <f t="shared" si="11"/>
        <v>649.45799999999997</v>
      </c>
      <c r="M118" s="16">
        <f t="shared" si="12"/>
        <v>14937.534</v>
      </c>
      <c r="N118" s="29">
        <f t="shared" si="13"/>
        <v>0.1</v>
      </c>
    </row>
    <row r="119" spans="1:14">
      <c r="A119" s="17" t="s">
        <v>168</v>
      </c>
      <c r="B119" s="14" t="s">
        <v>229</v>
      </c>
      <c r="C119" s="15" t="s">
        <v>0</v>
      </c>
      <c r="D119" s="1" t="s">
        <v>4</v>
      </c>
      <c r="E119" s="26">
        <v>2</v>
      </c>
      <c r="F119" s="24">
        <v>124.32</v>
      </c>
      <c r="G119" s="16">
        <f t="shared" si="16"/>
        <v>248.64</v>
      </c>
      <c r="H119" s="24">
        <v>25</v>
      </c>
      <c r="I119" s="16">
        <f t="shared" si="15"/>
        <v>50</v>
      </c>
      <c r="J119" s="28"/>
      <c r="K119" s="28"/>
      <c r="L119" s="24">
        <f t="shared" si="11"/>
        <v>111.88799999999999</v>
      </c>
      <c r="M119" s="16">
        <f t="shared" si="12"/>
        <v>223.77599999999998</v>
      </c>
      <c r="N119" s="29">
        <f t="shared" si="13"/>
        <v>0.1</v>
      </c>
    </row>
    <row r="120" spans="1:14">
      <c r="A120" s="17" t="s">
        <v>169</v>
      </c>
      <c r="B120" s="14" t="s">
        <v>230</v>
      </c>
      <c r="C120" s="15" t="s">
        <v>0</v>
      </c>
      <c r="D120" s="1" t="s">
        <v>4</v>
      </c>
      <c r="E120" s="26">
        <v>101</v>
      </c>
      <c r="F120" s="24">
        <v>124.32</v>
      </c>
      <c r="G120" s="16">
        <f t="shared" si="16"/>
        <v>12556.32</v>
      </c>
      <c r="H120" s="24">
        <v>150</v>
      </c>
      <c r="I120" s="16">
        <f t="shared" si="15"/>
        <v>15150</v>
      </c>
      <c r="J120" s="28"/>
      <c r="K120" s="28"/>
      <c r="L120" s="24">
        <f t="shared" si="11"/>
        <v>111.88799999999999</v>
      </c>
      <c r="M120" s="16">
        <f t="shared" si="12"/>
        <v>11300.687999999998</v>
      </c>
      <c r="N120" s="29">
        <f t="shared" si="13"/>
        <v>0.1</v>
      </c>
    </row>
    <row r="121" spans="1:14">
      <c r="A121" s="17" t="s">
        <v>170</v>
      </c>
      <c r="B121" s="14" t="s">
        <v>231</v>
      </c>
      <c r="C121" s="15" t="s">
        <v>0</v>
      </c>
      <c r="D121" s="1" t="s">
        <v>4</v>
      </c>
      <c r="E121" s="26">
        <v>101</v>
      </c>
      <c r="F121" s="24">
        <v>721.62</v>
      </c>
      <c r="G121" s="16">
        <f t="shared" si="16"/>
        <v>72883.62</v>
      </c>
      <c r="H121" s="28"/>
      <c r="I121" s="28"/>
      <c r="J121" s="24">
        <v>250</v>
      </c>
      <c r="K121" s="24">
        <f t="shared" si="10"/>
        <v>25250</v>
      </c>
      <c r="L121" s="24">
        <f t="shared" si="11"/>
        <v>649.45799999999997</v>
      </c>
      <c r="M121" s="16">
        <f t="shared" si="12"/>
        <v>65595.258000000002</v>
      </c>
      <c r="N121" s="29">
        <f t="shared" si="13"/>
        <v>0.1</v>
      </c>
    </row>
    <row r="122" spans="1:14">
      <c r="A122" s="17" t="s">
        <v>171</v>
      </c>
      <c r="B122" s="14" t="s">
        <v>232</v>
      </c>
      <c r="C122" s="15" t="s">
        <v>0</v>
      </c>
      <c r="D122" s="1" t="s">
        <v>4</v>
      </c>
      <c r="E122" s="26">
        <v>19</v>
      </c>
      <c r="F122" s="24">
        <v>124.32</v>
      </c>
      <c r="G122" s="16">
        <f t="shared" si="16"/>
        <v>2362.08</v>
      </c>
      <c r="H122" s="24">
        <v>300</v>
      </c>
      <c r="I122" s="16">
        <f t="shared" si="15"/>
        <v>5700</v>
      </c>
      <c r="J122" s="28"/>
      <c r="K122" s="28"/>
      <c r="L122" s="24">
        <f t="shared" si="11"/>
        <v>111.88799999999999</v>
      </c>
      <c r="M122" s="16">
        <f t="shared" si="12"/>
        <v>2125.8719999999998</v>
      </c>
      <c r="N122" s="29">
        <f t="shared" si="13"/>
        <v>0.1</v>
      </c>
    </row>
    <row r="123" spans="1:14">
      <c r="A123" s="17" t="s">
        <v>172</v>
      </c>
      <c r="B123" s="14" t="s">
        <v>233</v>
      </c>
      <c r="C123" s="15" t="s">
        <v>0</v>
      </c>
      <c r="D123" s="1" t="s">
        <v>4</v>
      </c>
      <c r="E123" s="26">
        <v>19</v>
      </c>
      <c r="F123" s="24">
        <v>721.62</v>
      </c>
      <c r="G123" s="16">
        <f t="shared" si="16"/>
        <v>13710.78</v>
      </c>
      <c r="H123" s="28"/>
      <c r="I123" s="28"/>
      <c r="J123" s="24">
        <v>250</v>
      </c>
      <c r="K123" s="24">
        <f t="shared" si="10"/>
        <v>4750</v>
      </c>
      <c r="L123" s="24">
        <f t="shared" si="11"/>
        <v>649.45799999999997</v>
      </c>
      <c r="M123" s="16">
        <f t="shared" si="12"/>
        <v>12339.701999999999</v>
      </c>
      <c r="N123" s="29">
        <f t="shared" si="13"/>
        <v>0.1</v>
      </c>
    </row>
    <row r="124" spans="1:14">
      <c r="A124" s="17" t="s">
        <v>173</v>
      </c>
      <c r="B124" s="14" t="s">
        <v>234</v>
      </c>
      <c r="C124" s="15" t="s">
        <v>0</v>
      </c>
      <c r="D124" s="1" t="s">
        <v>4</v>
      </c>
      <c r="E124" s="26">
        <v>12</v>
      </c>
      <c r="F124" s="24">
        <v>124.32</v>
      </c>
      <c r="G124" s="16">
        <f t="shared" si="16"/>
        <v>1491.84</v>
      </c>
      <c r="H124" s="24">
        <v>300</v>
      </c>
      <c r="I124" s="16">
        <f t="shared" si="15"/>
        <v>3600</v>
      </c>
      <c r="J124" s="28"/>
      <c r="K124" s="28"/>
      <c r="L124" s="24">
        <f t="shared" si="11"/>
        <v>111.88799999999999</v>
      </c>
      <c r="M124" s="16">
        <f t="shared" si="12"/>
        <v>1342.6559999999999</v>
      </c>
      <c r="N124" s="29">
        <f t="shared" si="13"/>
        <v>0.1</v>
      </c>
    </row>
    <row r="125" spans="1:14">
      <c r="A125" s="14" t="s">
        <v>174</v>
      </c>
      <c r="B125" s="14" t="s">
        <v>235</v>
      </c>
      <c r="C125" s="15" t="s">
        <v>0</v>
      </c>
      <c r="D125" s="1" t="s">
        <v>4</v>
      </c>
      <c r="E125" s="26">
        <v>12</v>
      </c>
      <c r="F125" s="24">
        <v>721.62</v>
      </c>
      <c r="G125" s="16">
        <f t="shared" si="16"/>
        <v>8659.44</v>
      </c>
      <c r="H125" s="28"/>
      <c r="I125" s="28"/>
      <c r="J125" s="24">
        <v>250</v>
      </c>
      <c r="K125" s="24">
        <f t="shared" si="10"/>
        <v>3000</v>
      </c>
      <c r="L125" s="24">
        <f t="shared" si="11"/>
        <v>649.45799999999997</v>
      </c>
      <c r="M125" s="16">
        <f t="shared" si="12"/>
        <v>7793.4959999999992</v>
      </c>
      <c r="N125" s="29">
        <f t="shared" si="13"/>
        <v>0.1</v>
      </c>
    </row>
    <row r="126" spans="1:14">
      <c r="A126" s="14" t="s">
        <v>175</v>
      </c>
      <c r="B126" s="14" t="s">
        <v>236</v>
      </c>
      <c r="C126" s="15" t="s">
        <v>0</v>
      </c>
      <c r="D126" s="1" t="s">
        <v>4</v>
      </c>
      <c r="E126" s="26">
        <v>3</v>
      </c>
      <c r="F126" s="24">
        <v>124.32</v>
      </c>
      <c r="G126" s="16">
        <f t="shared" si="16"/>
        <v>372.96</v>
      </c>
      <c r="H126" s="24">
        <v>300</v>
      </c>
      <c r="I126" s="16">
        <f t="shared" si="15"/>
        <v>900</v>
      </c>
      <c r="J126" s="28"/>
      <c r="K126" s="28"/>
      <c r="L126" s="24">
        <f t="shared" si="11"/>
        <v>111.88799999999999</v>
      </c>
      <c r="M126" s="16">
        <f t="shared" si="12"/>
        <v>335.66399999999999</v>
      </c>
      <c r="N126" s="29">
        <f t="shared" si="13"/>
        <v>0.1</v>
      </c>
    </row>
    <row r="127" spans="1:14">
      <c r="A127" s="14" t="s">
        <v>176</v>
      </c>
      <c r="B127" s="14" t="s">
        <v>237</v>
      </c>
      <c r="C127" s="15" t="s">
        <v>0</v>
      </c>
      <c r="D127" s="1" t="s">
        <v>4</v>
      </c>
      <c r="E127" s="26">
        <v>3</v>
      </c>
      <c r="F127" s="24">
        <v>721.62</v>
      </c>
      <c r="G127" s="16">
        <f t="shared" si="16"/>
        <v>2164.86</v>
      </c>
      <c r="H127" s="28"/>
      <c r="I127" s="28"/>
      <c r="J127" s="24">
        <v>250</v>
      </c>
      <c r="K127" s="24">
        <f t="shared" si="10"/>
        <v>750</v>
      </c>
      <c r="L127" s="24">
        <f t="shared" si="11"/>
        <v>649.45799999999997</v>
      </c>
      <c r="M127" s="16">
        <f t="shared" si="12"/>
        <v>1948.3739999999998</v>
      </c>
      <c r="N127" s="29">
        <f t="shared" si="13"/>
        <v>0.1</v>
      </c>
    </row>
    <row r="128" spans="1:14">
      <c r="A128" s="14" t="s">
        <v>177</v>
      </c>
      <c r="B128" s="14" t="s">
        <v>238</v>
      </c>
      <c r="C128" s="15" t="s">
        <v>0</v>
      </c>
      <c r="D128" s="1" t="s">
        <v>4</v>
      </c>
      <c r="E128" s="26">
        <v>2</v>
      </c>
      <c r="F128" s="24">
        <v>124.32</v>
      </c>
      <c r="G128" s="16">
        <f t="shared" si="16"/>
        <v>248.64</v>
      </c>
      <c r="H128" s="24">
        <v>300</v>
      </c>
      <c r="I128" s="16">
        <f t="shared" si="15"/>
        <v>600</v>
      </c>
      <c r="J128" s="28"/>
      <c r="K128" s="28"/>
      <c r="L128" s="24">
        <f t="shared" si="11"/>
        <v>111.88799999999999</v>
      </c>
      <c r="M128" s="16">
        <f t="shared" si="12"/>
        <v>223.77599999999998</v>
      </c>
      <c r="N128" s="29">
        <f t="shared" si="13"/>
        <v>0.1</v>
      </c>
    </row>
    <row r="129" spans="1:14">
      <c r="A129" s="14" t="s">
        <v>178</v>
      </c>
      <c r="B129" s="14" t="s">
        <v>239</v>
      </c>
      <c r="C129" s="15" t="s">
        <v>0</v>
      </c>
      <c r="D129" s="1" t="s">
        <v>4</v>
      </c>
      <c r="E129" s="26">
        <v>2</v>
      </c>
      <c r="F129" s="24">
        <v>721.62</v>
      </c>
      <c r="G129" s="16">
        <f t="shared" si="16"/>
        <v>1443.24</v>
      </c>
      <c r="H129" s="28"/>
      <c r="I129" s="28"/>
      <c r="J129" s="24">
        <v>250</v>
      </c>
      <c r="K129" s="24">
        <f t="shared" si="10"/>
        <v>500</v>
      </c>
      <c r="L129" s="24">
        <f t="shared" si="11"/>
        <v>649.45799999999997</v>
      </c>
      <c r="M129" s="16">
        <f t="shared" si="12"/>
        <v>1298.9159999999999</v>
      </c>
      <c r="N129" s="29">
        <f t="shared" si="13"/>
        <v>0.1</v>
      </c>
    </row>
    <row r="130" spans="1:14">
      <c r="A130" s="14" t="s">
        <v>74</v>
      </c>
      <c r="B130" s="14" t="s">
        <v>83</v>
      </c>
      <c r="C130" s="15" t="s">
        <v>26</v>
      </c>
      <c r="D130" s="1" t="s">
        <v>4</v>
      </c>
      <c r="E130" s="26">
        <v>6</v>
      </c>
      <c r="F130" s="27"/>
      <c r="G130" s="28"/>
      <c r="H130" s="28"/>
      <c r="I130" s="28"/>
      <c r="J130" s="28"/>
      <c r="K130" s="28"/>
      <c r="L130" s="28"/>
      <c r="M130" s="28"/>
      <c r="N130" s="29">
        <f t="shared" si="13"/>
        <v>0.1</v>
      </c>
    </row>
    <row r="131" spans="1:14">
      <c r="A131" s="14" t="s">
        <v>253</v>
      </c>
      <c r="B131" s="14" t="s">
        <v>263</v>
      </c>
      <c r="C131" s="15" t="s">
        <v>26</v>
      </c>
      <c r="D131" s="1" t="s">
        <v>4</v>
      </c>
      <c r="E131" s="26">
        <v>6</v>
      </c>
      <c r="F131" s="27"/>
      <c r="G131" s="28"/>
      <c r="H131" s="28"/>
      <c r="I131" s="28"/>
      <c r="J131" s="28"/>
      <c r="K131" s="28"/>
      <c r="L131" s="28"/>
      <c r="M131" s="28"/>
      <c r="N131" s="29">
        <f t="shared" si="13"/>
        <v>0.1</v>
      </c>
    </row>
    <row r="132" spans="1:14">
      <c r="A132" s="14" t="s">
        <v>179</v>
      </c>
      <c r="B132" s="14" t="s">
        <v>240</v>
      </c>
      <c r="C132" s="15" t="s">
        <v>26</v>
      </c>
      <c r="D132" s="1" t="s">
        <v>4</v>
      </c>
      <c r="E132" s="26">
        <v>6</v>
      </c>
      <c r="F132" s="27"/>
      <c r="G132" s="28"/>
      <c r="H132" s="28"/>
      <c r="I132" s="28"/>
      <c r="J132" s="28"/>
      <c r="K132" s="28"/>
      <c r="L132" s="28"/>
      <c r="M132" s="28"/>
      <c r="N132" s="29">
        <f t="shared" si="13"/>
        <v>0.1</v>
      </c>
    </row>
    <row r="133" spans="1:14">
      <c r="A133" s="14" t="s">
        <v>254</v>
      </c>
      <c r="B133" s="14" t="s">
        <v>264</v>
      </c>
      <c r="C133" s="15" t="s">
        <v>26</v>
      </c>
      <c r="D133" s="1" t="s">
        <v>4</v>
      </c>
      <c r="E133" s="26">
        <v>6</v>
      </c>
      <c r="F133" s="27"/>
      <c r="G133" s="28"/>
      <c r="H133" s="28"/>
      <c r="I133" s="28"/>
      <c r="J133" s="28"/>
      <c r="K133" s="28"/>
      <c r="L133" s="28"/>
      <c r="M133" s="28"/>
      <c r="N133" s="29">
        <f t="shared" si="13"/>
        <v>0.1</v>
      </c>
    </row>
    <row r="134" spans="1:14">
      <c r="A134" s="14" t="s">
        <v>180</v>
      </c>
      <c r="B134" s="14" t="s">
        <v>241</v>
      </c>
      <c r="C134" s="15" t="s">
        <v>26</v>
      </c>
      <c r="D134" s="1" t="s">
        <v>4</v>
      </c>
      <c r="E134" s="26">
        <v>6</v>
      </c>
      <c r="F134" s="27"/>
      <c r="G134" s="28"/>
      <c r="H134" s="28"/>
      <c r="I134" s="28"/>
      <c r="J134" s="28"/>
      <c r="K134" s="28"/>
      <c r="L134" s="28"/>
      <c r="M134" s="28"/>
      <c r="N134" s="29">
        <f t="shared" si="13"/>
        <v>0.1</v>
      </c>
    </row>
    <row r="135" spans="1:14">
      <c r="A135" s="14" t="s">
        <v>255</v>
      </c>
      <c r="B135" s="14" t="s">
        <v>265</v>
      </c>
      <c r="C135" s="15" t="s">
        <v>26</v>
      </c>
      <c r="D135" s="1" t="s">
        <v>4</v>
      </c>
      <c r="E135" s="26">
        <v>6</v>
      </c>
      <c r="F135" s="27"/>
      <c r="G135" s="28"/>
      <c r="H135" s="28"/>
      <c r="I135" s="28"/>
      <c r="J135" s="28"/>
      <c r="K135" s="28"/>
      <c r="L135" s="28"/>
      <c r="M135" s="28"/>
      <c r="N135" s="29">
        <f t="shared" ref="N135:N138" si="17">+N134</f>
        <v>0.1</v>
      </c>
    </row>
    <row r="136" spans="1:14">
      <c r="A136" s="14" t="s">
        <v>44</v>
      </c>
      <c r="B136" s="14" t="s">
        <v>49</v>
      </c>
      <c r="C136" s="15" t="s">
        <v>0</v>
      </c>
      <c r="D136" s="1" t="s">
        <v>35</v>
      </c>
      <c r="E136" s="26">
        <v>210</v>
      </c>
      <c r="F136" s="24">
        <v>2307.7800000000002</v>
      </c>
      <c r="G136" s="16">
        <f>F136*E136</f>
        <v>484633.80000000005</v>
      </c>
      <c r="H136" s="28"/>
      <c r="I136" s="28"/>
      <c r="J136" s="24">
        <v>2200</v>
      </c>
      <c r="K136" s="24">
        <f t="shared" ref="K136:K138" si="18">+J136*E136</f>
        <v>462000</v>
      </c>
      <c r="L136" s="24">
        <f t="shared" ref="L136:L138" si="19">+F136-(F136*N136)</f>
        <v>2077.0020000000004</v>
      </c>
      <c r="M136" s="16">
        <f t="shared" ref="M136:M138" si="20">+L136*E136</f>
        <v>436170.4200000001</v>
      </c>
      <c r="N136" s="29">
        <f t="shared" si="17"/>
        <v>0.1</v>
      </c>
    </row>
    <row r="137" spans="1:14">
      <c r="A137" s="14" t="s">
        <v>14</v>
      </c>
      <c r="B137" s="14" t="s">
        <v>31</v>
      </c>
      <c r="C137" s="15" t="s">
        <v>26</v>
      </c>
      <c r="D137" s="1" t="s">
        <v>4</v>
      </c>
      <c r="E137" s="26">
        <v>3682</v>
      </c>
      <c r="F137" s="27"/>
      <c r="G137" s="28"/>
      <c r="H137" s="28"/>
      <c r="I137" s="28"/>
      <c r="J137" s="28"/>
      <c r="K137" s="28"/>
      <c r="L137" s="28"/>
      <c r="M137" s="28"/>
      <c r="N137" s="29">
        <f t="shared" si="17"/>
        <v>0.1</v>
      </c>
    </row>
    <row r="138" spans="1:14">
      <c r="A138" s="14" t="s">
        <v>21</v>
      </c>
      <c r="B138" s="14" t="s">
        <v>32</v>
      </c>
      <c r="C138" s="15" t="s">
        <v>0</v>
      </c>
      <c r="D138" s="1" t="s">
        <v>4</v>
      </c>
      <c r="E138" s="26">
        <v>3682</v>
      </c>
      <c r="F138" s="24">
        <v>25.98</v>
      </c>
      <c r="G138" s="16">
        <f t="shared" ref="G138" si="21">F138*E138</f>
        <v>95658.36</v>
      </c>
      <c r="H138" s="28"/>
      <c r="I138" s="28"/>
      <c r="J138" s="24">
        <v>20</v>
      </c>
      <c r="K138" s="24">
        <f t="shared" si="18"/>
        <v>73640</v>
      </c>
      <c r="L138" s="24">
        <f t="shared" si="19"/>
        <v>23.382000000000001</v>
      </c>
      <c r="M138" s="16">
        <f t="shared" si="20"/>
        <v>86092.524000000005</v>
      </c>
      <c r="N138" s="29">
        <f t="shared" si="17"/>
        <v>0.1</v>
      </c>
    </row>
    <row r="139" spans="1:14">
      <c r="G139" s="21">
        <f>SUM(G3:G138)</f>
        <v>188500381.63000005</v>
      </c>
      <c r="I139" s="21">
        <f>SUM(I3:I138)</f>
        <v>73298451</v>
      </c>
      <c r="K139" s="21">
        <f>SUM(K3:K138)</f>
        <v>72092430</v>
      </c>
      <c r="M139" s="21">
        <f>SUM(M3:M138)</f>
        <v>169650343.46699992</v>
      </c>
    </row>
    <row r="141" spans="1:14">
      <c r="A141" s="3" t="s">
        <v>52</v>
      </c>
      <c r="B141" s="5"/>
      <c r="C141" s="6"/>
      <c r="D141" s="6"/>
      <c r="E141" s="7"/>
    </row>
    <row r="142" spans="1:14">
      <c r="A142" s="3" t="s">
        <v>53</v>
      </c>
      <c r="B142" s="3"/>
      <c r="C142" s="8"/>
      <c r="D142" s="8"/>
      <c r="E142" s="9"/>
    </row>
    <row r="145" spans="7:13">
      <c r="I145" s="30" t="s">
        <v>294</v>
      </c>
      <c r="J145" s="4">
        <f>+I139</f>
        <v>73298451</v>
      </c>
    </row>
    <row r="146" spans="7:13">
      <c r="I146" s="30" t="s">
        <v>295</v>
      </c>
      <c r="J146" s="4">
        <f>+K139</f>
        <v>72092430</v>
      </c>
    </row>
    <row r="147" spans="7:13">
      <c r="I147" s="30" t="s">
        <v>296</v>
      </c>
      <c r="J147" s="4">
        <v>7500000</v>
      </c>
    </row>
    <row r="148" spans="7:13">
      <c r="G148" s="22"/>
      <c r="I148" s="31" t="s">
        <v>322</v>
      </c>
      <c r="J148" s="4">
        <f>+Sayfa1!E25</f>
        <v>15260000</v>
      </c>
      <c r="K148" s="22"/>
      <c r="M148" s="22"/>
    </row>
    <row r="149" spans="7:13">
      <c r="I149" s="30" t="s">
        <v>297</v>
      </c>
      <c r="J149" s="4">
        <v>500000</v>
      </c>
    </row>
    <row r="150" spans="7:13">
      <c r="I150" s="30" t="s">
        <v>321</v>
      </c>
      <c r="J150" s="4">
        <f>SUM(J145:J149)</f>
        <v>168650881</v>
      </c>
    </row>
    <row r="151" spans="7:13">
      <c r="I151" s="30" t="s">
        <v>323</v>
      </c>
      <c r="J151" s="4">
        <f>+M139-J150</f>
        <v>999462.46699991822</v>
      </c>
    </row>
    <row r="152" spans="7:13">
      <c r="J152" s="37">
        <f>+J151/J150</f>
        <v>5.9262214408468952E-3</v>
      </c>
    </row>
  </sheetData>
  <autoFilter ref="A2:G139" xr:uid="{00000000-0009-0000-0000-000000000000}"/>
  <mergeCells count="2">
    <mergeCell ref="A1:G1"/>
    <mergeCell ref="H1:M1"/>
  </mergeCells>
  <conditionalFormatting sqref="A5:A16">
    <cfRule type="duplicateValues" dxfId="11" priority="7"/>
  </conditionalFormatting>
  <conditionalFormatting sqref="A17:A18 A3:A4">
    <cfRule type="duplicateValues" dxfId="10" priority="1"/>
  </conditionalFormatting>
  <conditionalFormatting sqref="A19:A22">
    <cfRule type="duplicateValues" dxfId="9" priority="4"/>
  </conditionalFormatting>
  <conditionalFormatting sqref="A23:A24">
    <cfRule type="duplicateValues" dxfId="8" priority="10"/>
  </conditionalFormatting>
  <conditionalFormatting sqref="A25:A26">
    <cfRule type="duplicateValues" dxfId="7" priority="9"/>
  </conditionalFormatting>
  <conditionalFormatting sqref="A27:A28">
    <cfRule type="duplicateValues" dxfId="6" priority="8"/>
  </conditionalFormatting>
  <conditionalFormatting sqref="A63:A85 A29:A48">
    <cfRule type="duplicateValues" dxfId="5" priority="2"/>
  </conditionalFormatting>
  <conditionalFormatting sqref="A86:A89 A49:A62">
    <cfRule type="duplicateValues" dxfId="4" priority="3"/>
  </conditionalFormatting>
  <conditionalFormatting sqref="A90:A92 A94:A138">
    <cfRule type="duplicateValues" dxfId="3" priority="6"/>
  </conditionalFormatting>
  <conditionalFormatting sqref="A93">
    <cfRule type="duplicateValues" dxfId="2" priority="5"/>
  </conditionalFormatting>
  <conditionalFormatting sqref="A140:A142">
    <cfRule type="duplicateValues" dxfId="1" priority="82"/>
  </conditionalFormatting>
  <conditionalFormatting sqref="A143:A1048576 A139 A1:A2">
    <cfRule type="duplicateValues" dxfId="0" priority="79"/>
  </conditionalFormatting>
  <printOptions horizontalCentered="1"/>
  <pageMargins left="0.31496062992125984" right="0.31496062992125984" top="0.74803149606299213" bottom="0.55118110236220474" header="0.31496062992125984" footer="0.31496062992125984"/>
  <pageSetup paperSize="9" scale="52" fitToHeight="0" orientation="portrait" r:id="rId1"/>
  <headerFooter>
    <oddFooter>Sayfa &amp;P /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FEF9E1-7476-4CF3-AC44-FA797B1BE265}">
  <dimension ref="B4:E25"/>
  <sheetViews>
    <sheetView workbookViewId="0">
      <selection activeCell="E28" sqref="E28"/>
    </sheetView>
  </sheetViews>
  <sheetFormatPr defaultRowHeight="12.75"/>
  <cols>
    <col min="2" max="2" width="18.47265625" bestFit="1" customWidth="1"/>
    <col min="3" max="3" width="17.93359375" bestFit="1" customWidth="1"/>
    <col min="5" max="5" width="15.1015625" bestFit="1" customWidth="1"/>
  </cols>
  <sheetData>
    <row r="4" spans="2:5">
      <c r="B4" s="44" t="s">
        <v>298</v>
      </c>
      <c r="C4" s="44"/>
      <c r="D4" s="44"/>
      <c r="E4" s="44"/>
    </row>
    <row r="5" spans="2:5">
      <c r="B5" s="32"/>
      <c r="C5" s="32" t="s">
        <v>299</v>
      </c>
      <c r="D5" s="32" t="s">
        <v>300</v>
      </c>
      <c r="E5" s="32" t="s">
        <v>301</v>
      </c>
    </row>
    <row r="6" spans="2:5">
      <c r="B6" s="32" t="s">
        <v>302</v>
      </c>
      <c r="C6" s="33">
        <v>130000</v>
      </c>
      <c r="D6" s="34">
        <v>1</v>
      </c>
      <c r="E6" s="33">
        <f t="shared" ref="E6:E22" si="0">+C6*D6</f>
        <v>130000</v>
      </c>
    </row>
    <row r="7" spans="2:5">
      <c r="B7" s="32" t="s">
        <v>303</v>
      </c>
      <c r="C7" s="33">
        <v>80000</v>
      </c>
      <c r="D7" s="34">
        <v>1</v>
      </c>
      <c r="E7" s="33">
        <f t="shared" si="0"/>
        <v>80000</v>
      </c>
    </row>
    <row r="8" spans="2:5">
      <c r="B8" s="32" t="s">
        <v>304</v>
      </c>
      <c r="C8" s="33">
        <v>60000</v>
      </c>
      <c r="D8" s="34">
        <v>2</v>
      </c>
      <c r="E8" s="33">
        <f t="shared" si="0"/>
        <v>120000</v>
      </c>
    </row>
    <row r="9" spans="2:5">
      <c r="B9" s="32" t="s">
        <v>305</v>
      </c>
      <c r="C9" s="33">
        <v>70000</v>
      </c>
      <c r="D9" s="34">
        <v>2</v>
      </c>
      <c r="E9" s="33">
        <f t="shared" si="0"/>
        <v>140000</v>
      </c>
    </row>
    <row r="10" spans="2:5">
      <c r="B10" s="32" t="s">
        <v>306</v>
      </c>
      <c r="C10" s="33">
        <v>60000</v>
      </c>
      <c r="D10" s="34">
        <v>1</v>
      </c>
      <c r="E10" s="33">
        <f t="shared" si="0"/>
        <v>60000</v>
      </c>
    </row>
    <row r="11" spans="2:5">
      <c r="B11" s="32" t="s">
        <v>307</v>
      </c>
      <c r="C11" s="33">
        <v>60000</v>
      </c>
      <c r="D11" s="34">
        <v>1</v>
      </c>
      <c r="E11" s="33">
        <f t="shared" si="0"/>
        <v>60000</v>
      </c>
    </row>
    <row r="12" spans="2:5">
      <c r="B12" s="32" t="s">
        <v>308</v>
      </c>
      <c r="C12" s="33">
        <v>55000</v>
      </c>
      <c r="D12" s="34">
        <v>2</v>
      </c>
      <c r="E12" s="33">
        <f t="shared" si="0"/>
        <v>110000</v>
      </c>
    </row>
    <row r="13" spans="2:5">
      <c r="B13" s="32" t="s">
        <v>309</v>
      </c>
      <c r="C13" s="33">
        <v>60000</v>
      </c>
      <c r="D13" s="34">
        <v>2</v>
      </c>
      <c r="E13" s="33">
        <f t="shared" si="0"/>
        <v>120000</v>
      </c>
    </row>
    <row r="14" spans="2:5">
      <c r="B14" s="32" t="s">
        <v>310</v>
      </c>
      <c r="C14" s="33">
        <v>30000</v>
      </c>
      <c r="D14" s="34">
        <v>1</v>
      </c>
      <c r="E14" s="33">
        <f t="shared" si="0"/>
        <v>30000</v>
      </c>
    </row>
    <row r="15" spans="2:5">
      <c r="B15" s="32" t="s">
        <v>311</v>
      </c>
      <c r="C15" s="33">
        <v>75000</v>
      </c>
      <c r="D15" s="34">
        <v>1</v>
      </c>
      <c r="E15" s="33">
        <f t="shared" si="0"/>
        <v>75000</v>
      </c>
    </row>
    <row r="16" spans="2:5">
      <c r="B16" s="32" t="s">
        <v>312</v>
      </c>
      <c r="C16" s="33">
        <v>200000</v>
      </c>
      <c r="D16" s="34">
        <v>1</v>
      </c>
      <c r="E16" s="33">
        <f t="shared" si="0"/>
        <v>200000</v>
      </c>
    </row>
    <row r="17" spans="2:5">
      <c r="B17" s="32" t="s">
        <v>313</v>
      </c>
      <c r="C17" s="33">
        <v>40000</v>
      </c>
      <c r="D17" s="34">
        <v>6</v>
      </c>
      <c r="E17" s="33">
        <f t="shared" si="0"/>
        <v>240000</v>
      </c>
    </row>
    <row r="18" spans="2:5">
      <c r="B18" s="32" t="s">
        <v>314</v>
      </c>
      <c r="C18" s="33">
        <v>150000</v>
      </c>
      <c r="D18" s="34">
        <v>1</v>
      </c>
      <c r="E18" s="33">
        <f t="shared" si="0"/>
        <v>150000</v>
      </c>
    </row>
    <row r="19" spans="2:5">
      <c r="B19" s="32" t="s">
        <v>315</v>
      </c>
      <c r="C19" s="33">
        <v>35000</v>
      </c>
      <c r="D19" s="34">
        <v>1</v>
      </c>
      <c r="E19" s="33">
        <f t="shared" si="0"/>
        <v>35000</v>
      </c>
    </row>
    <row r="20" spans="2:5">
      <c r="B20" s="32" t="s">
        <v>316</v>
      </c>
      <c r="C20" s="33">
        <v>30000</v>
      </c>
      <c r="D20" s="34">
        <v>6</v>
      </c>
      <c r="E20" s="33">
        <f t="shared" si="0"/>
        <v>180000</v>
      </c>
    </row>
    <row r="21" spans="2:5">
      <c r="B21" s="32" t="s">
        <v>317</v>
      </c>
      <c r="C21" s="33">
        <v>200000</v>
      </c>
      <c r="D21" s="34">
        <v>1</v>
      </c>
      <c r="E21" s="33">
        <f t="shared" si="0"/>
        <v>200000</v>
      </c>
    </row>
    <row r="22" spans="2:5">
      <c r="B22" s="32" t="s">
        <v>318</v>
      </c>
      <c r="C22" s="33">
        <v>250000</v>
      </c>
      <c r="D22" s="34">
        <v>1</v>
      </c>
      <c r="E22" s="33">
        <f t="shared" si="0"/>
        <v>250000</v>
      </c>
    </row>
    <row r="23" spans="2:5">
      <c r="B23" s="41" t="s">
        <v>319</v>
      </c>
      <c r="C23" s="42"/>
      <c r="D23" s="43"/>
      <c r="E23" s="33">
        <f>SUM(E6:E22)</f>
        <v>2180000</v>
      </c>
    </row>
    <row r="24" spans="2:5">
      <c r="B24" s="4"/>
      <c r="C24" s="4"/>
      <c r="D24" s="4"/>
      <c r="E24" s="4"/>
    </row>
    <row r="25" spans="2:5">
      <c r="C25" s="35" t="s">
        <v>320</v>
      </c>
      <c r="D25">
        <v>7</v>
      </c>
      <c r="E25" s="36">
        <f>+D25*E23</f>
        <v>15260000</v>
      </c>
    </row>
  </sheetData>
  <mergeCells count="2">
    <mergeCell ref="B23:D23"/>
    <mergeCell ref="B4:E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iOS</Application>
  <DocSecurity>0</DocSecurity>
  <ScaleCrop>false</ScaleCrop>
  <HeadingPairs>
    <vt:vector size="4" baseType="variant">
      <vt:variant>
        <vt:lpstr>Çalışma Sayfaları</vt:lpstr>
      </vt:variant>
      <vt:variant>
        <vt:i4>2</vt:i4>
      </vt:variant>
      <vt:variant>
        <vt:lpstr>Adlandırılmış Aralıklar</vt:lpstr>
      </vt:variant>
      <vt:variant>
        <vt:i4>2</vt:i4>
      </vt:variant>
    </vt:vector>
  </HeadingPairs>
  <TitlesOfParts>
    <vt:vector size="4" baseType="lpstr">
      <vt:lpstr>Toplam Keşif</vt:lpstr>
      <vt:lpstr>Sayfa1</vt:lpstr>
      <vt:lpstr>Toplam Keşif!Yazdırma_Alanı</vt:lpstr>
      <vt:lpstr>Toplam Keşif!Yazdırma_Başlıkları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SAP WebAS</dc:creator>
  <cp:lastModifiedBy>mehmet altunbudak</cp:lastModifiedBy>
  <cp:revision>1</cp:revision>
  <cp:lastPrinted>2024-01-18T08:49:29Z</cp:lastPrinted>
  <dcterms:created xsi:type="dcterms:W3CDTF">2016-06-12T10:29:50Z</dcterms:created>
  <dcterms:modified xsi:type="dcterms:W3CDTF">2026-01-02T14:59:45Z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VeriketClassification">
    <vt:lpwstr>FCA16667-98CE-44CD-B8EF-FE69F63F5112</vt:lpwstr>
  </property>
  <property fmtid="{D5CDD505-2E9C-101B-9397-08002B2CF9AE}" pid="3" name="SensitivityPropertyName">
    <vt:lpwstr>641F45E9-CB37-4624-A17F-CDD382C7D086</vt:lpwstr>
  </property>
  <property fmtid="{D5CDD505-2E9C-101B-9397-08002B2CF9AE}" pid="4" name="SensitivityPersonalDatasPropertyName">
    <vt:lpwstr/>
  </property>
  <property fmtid="{D5CDD505-2E9C-101B-9397-08002B2CF9AE}" pid="5" name="Excel_AddedWatermark_PropertyName">
    <vt:lpwstr/>
  </property>
  <property fmtid="{D5CDD505-2E9C-101B-9397-08002B2CF9AE}" pid="6" name="VeriketAuthor">
    <vt:lpwstr>YnT1bmNvULXExWYR/M3rbQ==</vt:lpwstr>
  </property>
  <property fmtid="{D5CDD505-2E9C-101B-9397-08002B2CF9AE}" pid="7" name="DetectedPolicyPropertyName">
    <vt:lpwstr/>
  </property>
  <property fmtid="{D5CDD505-2E9C-101B-9397-08002B2CF9AE}" pid="8" name="DetectedKeywordsPropertyName">
    <vt:lpwstr>3.1.2.2,5.5.1.1,5.5.1.2,5.8.2.1,5.8.2.2,5.8.5.1,9.2.0.1,9.2.0.4,9.3.0.2,9.5.0.14,9.5.0.15,9.5.0.16,9.5.0.17,9.5.0.18,9.5.0.19,11.6.0.9,11.6.0.4,17.8.0.8,20.5.4.15,20.5.1.1,22.4.1.8,22.4.2.4,22.4.3.10,22.4.4.7,24.4.1.3,24.4.2.1,24.4.2.2,24.4.2.3,24.4.2.4,24.4.5.1,31.6.3.3,31.6.3.6,31.6.3.8,31.6.3.10,32.4.1.3,32.4.1.5,32.11.4.4,32.21.0.48,32.21.0.50,32.21.0.60,32.21.0.61,32.21.0.64,32.21.0.68,32.21.0.69,32.34.14.4,32.34.14.6,,İp</vt:lpwstr>
  </property>
</Properties>
</file>